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oxro\OneDrive\Desktop\All Files\Spencer Folder\Portfolio Resources\"/>
    </mc:Choice>
  </mc:AlternateContent>
  <xr:revisionPtr revIDLastSave="0" documentId="8_{31C12F35-CA15-4998-A8D5-3FDBD479F818}" xr6:coauthVersionLast="47" xr6:coauthVersionMax="47" xr10:uidLastSave="{00000000-0000-0000-0000-000000000000}"/>
  <bookViews>
    <workbookView xWindow="8760" yWindow="0" windowWidth="20145" windowHeight="15585" activeTab="2" xr2:uid="{00000000-000D-0000-FFFF-FFFF00000000}"/>
  </bookViews>
  <sheets>
    <sheet name="Pivot Analysis" sheetId="2" r:id="rId1"/>
    <sheet name="Executive_Summary" sheetId="3" r:id="rId2"/>
    <sheet name="Operational_Data" sheetId="1" r:id="rId3"/>
  </sheet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J2" i="1"/>
  <c r="J29" i="1"/>
  <c r="J51" i="1"/>
  <c r="J15" i="1"/>
  <c r="J30" i="1"/>
  <c r="J31" i="1"/>
  <c r="J3" i="1"/>
  <c r="J32" i="1"/>
  <c r="J38" i="1"/>
  <c r="J16" i="1"/>
  <c r="J4" i="1"/>
  <c r="J39" i="1"/>
  <c r="J52" i="1"/>
  <c r="J17" i="1"/>
  <c r="J5" i="1"/>
  <c r="J33" i="1"/>
  <c r="J18" i="1"/>
  <c r="J40" i="1"/>
  <c r="J19" i="1"/>
  <c r="J6" i="1"/>
  <c r="J20" i="1"/>
  <c r="J7" i="1"/>
  <c r="J8" i="1"/>
  <c r="J41" i="1"/>
  <c r="J53" i="1"/>
  <c r="J54" i="1"/>
  <c r="J42" i="1"/>
  <c r="J43" i="1"/>
  <c r="J21" i="1"/>
  <c r="J44" i="1"/>
  <c r="J55" i="1"/>
  <c r="J56" i="1"/>
  <c r="J22" i="1"/>
  <c r="J34" i="1"/>
  <c r="J35" i="1"/>
  <c r="J57" i="1"/>
  <c r="J23" i="1"/>
  <c r="J24" i="1"/>
  <c r="J36" i="1"/>
  <c r="J9" i="1"/>
  <c r="J10" i="1"/>
  <c r="J58" i="1"/>
  <c r="J45" i="1"/>
  <c r="J25" i="1"/>
  <c r="J46" i="1"/>
  <c r="J11" i="1"/>
  <c r="J12" i="1"/>
  <c r="J26" i="1"/>
  <c r="J47" i="1"/>
  <c r="J48" i="1"/>
  <c r="J59" i="1"/>
  <c r="J27" i="1"/>
  <c r="J28" i="1"/>
  <c r="J60" i="1"/>
  <c r="J13" i="1"/>
  <c r="J37" i="1"/>
  <c r="J14" i="1"/>
  <c r="J49" i="1"/>
  <c r="J61" i="1"/>
  <c r="J50" i="1"/>
</calcChain>
</file>

<file path=xl/sharedStrings.xml><?xml version="1.0" encoding="utf-8"?>
<sst xmlns="http://schemas.openxmlformats.org/spreadsheetml/2006/main" count="330" uniqueCount="96">
  <si>
    <t>Task_ID</t>
  </si>
  <si>
    <t>Task_Type</t>
  </si>
  <si>
    <t>Department</t>
  </si>
  <si>
    <t>Assigned_Date</t>
  </si>
  <si>
    <t>Completed_Date</t>
  </si>
  <si>
    <t>Expected_Days</t>
  </si>
  <si>
    <t>Actual_Days</t>
  </si>
  <si>
    <t>Status</t>
  </si>
  <si>
    <t>Priority</t>
  </si>
  <si>
    <t>TASK-1001</t>
  </si>
  <si>
    <t>Administration</t>
  </si>
  <si>
    <t>HR</t>
  </si>
  <si>
    <t>Delayed</t>
  </si>
  <si>
    <t>High</t>
  </si>
  <si>
    <t>TASK-1002</t>
  </si>
  <si>
    <t>Customer Support</t>
  </si>
  <si>
    <t>Operations</t>
  </si>
  <si>
    <t>TASK-1003</t>
  </si>
  <si>
    <t>Maintenance</t>
  </si>
  <si>
    <t>IT</t>
  </si>
  <si>
    <t>On Time</t>
  </si>
  <si>
    <t>Low</t>
  </si>
  <si>
    <t>TASK-1004</t>
  </si>
  <si>
    <t>Compliance</t>
  </si>
  <si>
    <t>TASK-1005</t>
  </si>
  <si>
    <t>TASK-1006</t>
  </si>
  <si>
    <t>Finance</t>
  </si>
  <si>
    <t>Medium</t>
  </si>
  <si>
    <t>TASK-1007</t>
  </si>
  <si>
    <t>Facilities</t>
  </si>
  <si>
    <t>TASK-1008</t>
  </si>
  <si>
    <t>TASK-1009</t>
  </si>
  <si>
    <t>IT Support</t>
  </si>
  <si>
    <t>TASK-1010</t>
  </si>
  <si>
    <t>TASK-1011</t>
  </si>
  <si>
    <t>TASK-1012</t>
  </si>
  <si>
    <t>TASK-1013</t>
  </si>
  <si>
    <t>TASK-1014</t>
  </si>
  <si>
    <t>TASK-1015</t>
  </si>
  <si>
    <t>TASK-1016</t>
  </si>
  <si>
    <t>TASK-1017</t>
  </si>
  <si>
    <t>TASK-1018</t>
  </si>
  <si>
    <t>TASK-1019</t>
  </si>
  <si>
    <t>TASK-1020</t>
  </si>
  <si>
    <t>TASK-1021</t>
  </si>
  <si>
    <t>TASK-1022</t>
  </si>
  <si>
    <t>TASK-1023</t>
  </si>
  <si>
    <t>TASK-1024</t>
  </si>
  <si>
    <t>TASK-1025</t>
  </si>
  <si>
    <t>TASK-1026</t>
  </si>
  <si>
    <t>TASK-1027</t>
  </si>
  <si>
    <t>TASK-1028</t>
  </si>
  <si>
    <t>TASK-1029</t>
  </si>
  <si>
    <t>TASK-1030</t>
  </si>
  <si>
    <t>TASK-1031</t>
  </si>
  <si>
    <t>TASK-1032</t>
  </si>
  <si>
    <t>TASK-1033</t>
  </si>
  <si>
    <t>TASK-1034</t>
  </si>
  <si>
    <t>TASK-1035</t>
  </si>
  <si>
    <t>TASK-1036</t>
  </si>
  <si>
    <t>TASK-1037</t>
  </si>
  <si>
    <t>TASK-1038</t>
  </si>
  <si>
    <t>TASK-1039</t>
  </si>
  <si>
    <t>TASK-1040</t>
  </si>
  <si>
    <t>TASK-1041</t>
  </si>
  <si>
    <t>TASK-1042</t>
  </si>
  <si>
    <t>TASK-1043</t>
  </si>
  <si>
    <t>TASK-1044</t>
  </si>
  <si>
    <t>TASK-1045</t>
  </si>
  <si>
    <t>TASK-1046</t>
  </si>
  <si>
    <t>TASK-1047</t>
  </si>
  <si>
    <t>TASK-1048</t>
  </si>
  <si>
    <t>TASK-1049</t>
  </si>
  <si>
    <t>TASK-1050</t>
  </si>
  <si>
    <t>TASK-1051</t>
  </si>
  <si>
    <t>TASK-1052</t>
  </si>
  <si>
    <t>TASK-1053</t>
  </si>
  <si>
    <t>TASK-1054</t>
  </si>
  <si>
    <t>TASK-1055</t>
  </si>
  <si>
    <t>TASK-1056</t>
  </si>
  <si>
    <t>TASK-1057</t>
  </si>
  <si>
    <t>TASK-1058</t>
  </si>
  <si>
    <t>TASK-1059</t>
  </si>
  <si>
    <t>TASK-1060</t>
  </si>
  <si>
    <t>DelayDays</t>
  </si>
  <si>
    <t>Row Labels</t>
  </si>
  <si>
    <t>Grand Total</t>
  </si>
  <si>
    <t>Count of Task_ID</t>
  </si>
  <si>
    <t>Delay Rate</t>
  </si>
  <si>
    <t>Average of Actual_Days</t>
  </si>
  <si>
    <t>Average of Expected_Days</t>
  </si>
  <si>
    <t>Average of DelayDays</t>
  </si>
  <si>
    <t>Executive Summary - Operational Performance Analysis</t>
  </si>
  <si>
    <t xml:space="preserve">This analysis examined operational task completion data to assess efficiency and idetify delay patterns. 
Overall performance analysis indicates that 55% of tasks were completed later than expected, suggesting systemic delays rather than isolated incidents. 
Task-type analysis shows that Customer Support tasks experience the greatest delays, with an average completion time 1.6 days later than expected, highlighting a potential operational bottleneck. 
Based on these findings, a targeted review of Customer Support workflows and ongoing monitoring of delay metrics by task type is recommended to improve overall operational efficiency. </t>
  </si>
  <si>
    <t>Prepared by: Spencer Price</t>
  </si>
  <si>
    <t>Tool Used: 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</si>
</sst>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33"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[operational_performance_analysis.xlsx]Pivot 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Task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Analysis'!$A$4:$A$6</c:f>
              <c:strCache>
                <c:ptCount val="2"/>
                <c:pt idx="0">
                  <c:v>Delayed</c:v>
                </c:pt>
                <c:pt idx="1">
                  <c:v>On Time</c:v>
                </c:pt>
              </c:strCache>
            </c:strRef>
          </c:cat>
          <c:val>
            <c:numRef>
              <c:f>'Pivot Analysis'!$B$4:$B$6</c:f>
              <c:numCache>
                <c:formatCode>General</c:formatCode>
                <c:ptCount val="2"/>
                <c:pt idx="0">
                  <c:v>33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D-4BF0-B65B-14F7403ACE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[operational_performance_analysis.xlsx]Pivot Analysis!PivotTable2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Average</a:t>
            </a:r>
            <a:r>
              <a:rPr lang="en-AU" baseline="0"/>
              <a:t> Delay by Task Type (Days)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Analysis'!$F$3</c:f>
              <c:strCache>
                <c:ptCount val="1"/>
                <c:pt idx="0">
                  <c:v>Average of Expected_Days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Analysis'!$E$4:$E$9</c:f>
              <c:strCache>
                <c:ptCount val="5"/>
                <c:pt idx="0">
                  <c:v>Customer Support</c:v>
                </c:pt>
                <c:pt idx="1">
                  <c:v>Maintenance</c:v>
                </c:pt>
                <c:pt idx="2">
                  <c:v>IT Support</c:v>
                </c:pt>
                <c:pt idx="3">
                  <c:v>Administration</c:v>
                </c:pt>
                <c:pt idx="4">
                  <c:v>Compliance</c:v>
                </c:pt>
              </c:strCache>
            </c:strRef>
          </c:cat>
          <c:val>
            <c:numRef>
              <c:f>'Pivot Analysis'!$F$4:$F$9</c:f>
              <c:numCache>
                <c:formatCode>0.0</c:formatCode>
                <c:ptCount val="5"/>
                <c:pt idx="0">
                  <c:v>5</c:v>
                </c:pt>
                <c:pt idx="1">
                  <c:v>4.5454545454545459</c:v>
                </c:pt>
                <c:pt idx="2">
                  <c:v>3.9230769230769229</c:v>
                </c:pt>
                <c:pt idx="3">
                  <c:v>4.4615384615384617</c:v>
                </c:pt>
                <c:pt idx="4">
                  <c:v>4.2857142857142856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C-461C-9403-E91AB403CF17}"/>
            </c:ext>
          </c:extLst>
        </c:ser>
        <c:ser>
          <c:idx val="1"/>
          <c:order val="1"/>
          <c:tx>
            <c:strRef>
              <c:f>'Pivot Analysis'!$G$3</c:f>
              <c:strCache>
                <c:ptCount val="1"/>
                <c:pt idx="0">
                  <c:v>Average of Actual_Days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Analysis'!$E$4:$E$9</c:f>
              <c:strCache>
                <c:ptCount val="5"/>
                <c:pt idx="0">
                  <c:v>Customer Support</c:v>
                </c:pt>
                <c:pt idx="1">
                  <c:v>Maintenance</c:v>
                </c:pt>
                <c:pt idx="2">
                  <c:v>IT Support</c:v>
                </c:pt>
                <c:pt idx="3">
                  <c:v>Administration</c:v>
                </c:pt>
                <c:pt idx="4">
                  <c:v>Compliance</c:v>
                </c:pt>
              </c:strCache>
            </c:strRef>
          </c:cat>
          <c:val>
            <c:numRef>
              <c:f>'Pivot Analysis'!$G$4:$G$9</c:f>
              <c:numCache>
                <c:formatCode>0.0</c:formatCode>
                <c:ptCount val="5"/>
                <c:pt idx="0">
                  <c:v>6.5555555555555554</c:v>
                </c:pt>
                <c:pt idx="1">
                  <c:v>5.7272727272727275</c:v>
                </c:pt>
                <c:pt idx="2">
                  <c:v>4.9230769230769234</c:v>
                </c:pt>
                <c:pt idx="3">
                  <c:v>5.4615384615384617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C-461C-9403-E91AB403CF17}"/>
            </c:ext>
          </c:extLst>
        </c:ser>
        <c:ser>
          <c:idx val="2"/>
          <c:order val="2"/>
          <c:tx>
            <c:strRef>
              <c:f>'Pivot Analysis'!$H$3</c:f>
              <c:strCache>
                <c:ptCount val="1"/>
                <c:pt idx="0">
                  <c:v>Average of DelayDays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Analysis'!$E$4:$E$9</c:f>
              <c:strCache>
                <c:ptCount val="5"/>
                <c:pt idx="0">
                  <c:v>Customer Support</c:v>
                </c:pt>
                <c:pt idx="1">
                  <c:v>Maintenance</c:v>
                </c:pt>
                <c:pt idx="2">
                  <c:v>IT Support</c:v>
                </c:pt>
                <c:pt idx="3">
                  <c:v>Administration</c:v>
                </c:pt>
                <c:pt idx="4">
                  <c:v>Compliance</c:v>
                </c:pt>
              </c:strCache>
            </c:strRef>
          </c:cat>
          <c:val>
            <c:numRef>
              <c:f>'Pivot Analysis'!$H$4:$H$9</c:f>
              <c:numCache>
                <c:formatCode>0.0</c:formatCode>
                <c:ptCount val="5"/>
                <c:pt idx="0">
                  <c:v>1.5555555555555556</c:v>
                </c:pt>
                <c:pt idx="1">
                  <c:v>1.1818181818181819</c:v>
                </c:pt>
                <c:pt idx="2">
                  <c:v>1</c:v>
                </c:pt>
                <c:pt idx="3">
                  <c:v>1</c:v>
                </c:pt>
                <c:pt idx="4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C-461C-9403-E91AB403C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678624"/>
        <c:axId val="595680544"/>
      </c:barChart>
      <c:catAx>
        <c:axId val="595678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80544"/>
        <c:crosses val="autoZero"/>
        <c:auto val="1"/>
        <c:lblAlgn val="ctr"/>
        <c:lblOffset val="100"/>
        <c:noMultiLvlLbl val="0"/>
      </c:catAx>
      <c:valAx>
        <c:axId val="59568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78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185737</xdr:rowOff>
    </xdr:from>
    <xdr:to>
      <xdr:col>5</xdr:col>
      <xdr:colOff>266700</xdr:colOff>
      <xdr:row>27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38435-497F-E35D-51AC-8FE176C057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19049</xdr:colOff>
      <xdr:row>30</xdr:row>
      <xdr:rowOff>61912</xdr:rowOff>
    </xdr:from>
    <xdr:to>
      <xdr:col>5</xdr:col>
      <xdr:colOff>923924</xdr:colOff>
      <xdr:row>44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73327-4846-59BF-02D9-532A5627A1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pencer Price" refreshedDate="46028.530268981478" createdVersion="8" refreshedVersion="8" minRefreshableVersion="3" recordCount="60" xr:uid="{ECE503CA-6441-4B99-A1FC-6F9042C15244}">
  <cacheSource type="worksheet">
    <worksheetSource name="OperationalTasks"/>
  </cacheSource>
  <cacheFields count="10">
    <cacheField name="Task_ID" numFmtId="0">
      <sharedItems/>
    </cacheField>
    <cacheField name="Task_Type" numFmtId="0">
      <sharedItems count="5">
        <s v="Administration"/>
        <s v="Customer Support"/>
        <s v="Maintenance"/>
        <s v="Compliance"/>
        <s v="IT Support"/>
      </sharedItems>
    </cacheField>
    <cacheField name="Department" numFmtId="0">
      <sharedItems/>
    </cacheField>
    <cacheField name="Assigned_Date" numFmtId="164">
      <sharedItems containsSemiMixedTypes="0" containsNonDate="0" containsDate="1" containsString="0" minDate="2025-07-06T00:00:00" maxDate="2025-09-28T00:00:00"/>
    </cacheField>
    <cacheField name="Completed_Date" numFmtId="164">
      <sharedItems containsSemiMixedTypes="0" containsNonDate="0" containsDate="1" containsString="0" minDate="2025-07-09T00:00:00" maxDate="2025-10-05T00:00:00"/>
    </cacheField>
    <cacheField name="Expected_Days" numFmtId="1">
      <sharedItems containsSemiMixedTypes="0" containsString="0" containsNumber="1" containsInteger="1" minValue="1" maxValue="7"/>
    </cacheField>
    <cacheField name="Actual_Days" numFmtId="1">
      <sharedItems containsSemiMixedTypes="0" containsString="0" containsNumber="1" containsInteger="1" minValue="1" maxValue="10" count="10">
        <n v="10"/>
        <n v="9"/>
        <n v="4"/>
        <n v="7"/>
        <n v="8"/>
        <n v="5"/>
        <n v="2"/>
        <n v="6"/>
        <n v="3"/>
        <n v="1"/>
      </sharedItems>
    </cacheField>
    <cacheField name="Status" numFmtId="0">
      <sharedItems count="2">
        <s v="Delayed"/>
        <s v="On Time"/>
      </sharedItems>
    </cacheField>
    <cacheField name="Priority" numFmtId="0">
      <sharedItems/>
    </cacheField>
    <cacheField name="DelayDays" numFmtId="1">
      <sharedItems containsSemiMixedTypes="0" containsString="0" containsNumber="1" containsInteger="1" minValue="-1" maxValue="3" count="5">
        <n v="3"/>
        <n v="0"/>
        <n v="-1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TASK-1001"/>
    <x v="0"/>
    <s v="HR"/>
    <d v="2025-08-06T00:00:00"/>
    <d v="2025-08-16T00:00:00"/>
    <n v="7"/>
    <x v="0"/>
    <x v="0"/>
    <s v="High"/>
    <x v="0"/>
  </r>
  <r>
    <s v="TASK-1002"/>
    <x v="1"/>
    <s v="Operations"/>
    <d v="2025-07-21T00:00:00"/>
    <d v="2025-07-30T00:00:00"/>
    <n v="6"/>
    <x v="1"/>
    <x v="0"/>
    <s v="High"/>
    <x v="0"/>
  </r>
  <r>
    <s v="TASK-1003"/>
    <x v="2"/>
    <s v="IT"/>
    <d v="2025-08-29T00:00:00"/>
    <d v="2025-09-02T00:00:00"/>
    <n v="4"/>
    <x v="2"/>
    <x v="1"/>
    <s v="Low"/>
    <x v="1"/>
  </r>
  <r>
    <s v="TASK-1004"/>
    <x v="3"/>
    <s v="Operations"/>
    <d v="2025-09-07T00:00:00"/>
    <d v="2025-09-14T00:00:00"/>
    <n v="7"/>
    <x v="3"/>
    <x v="1"/>
    <s v="Low"/>
    <x v="1"/>
  </r>
  <r>
    <s v="TASK-1005"/>
    <x v="1"/>
    <s v="HR"/>
    <d v="2025-09-22T00:00:00"/>
    <d v="2025-09-30T00:00:00"/>
    <n v="5"/>
    <x v="4"/>
    <x v="0"/>
    <s v="High"/>
    <x v="0"/>
  </r>
  <r>
    <s v="TASK-1006"/>
    <x v="1"/>
    <s v="Finance"/>
    <d v="2025-09-27T00:00:00"/>
    <d v="2025-10-04T00:00:00"/>
    <n v="7"/>
    <x v="3"/>
    <x v="1"/>
    <s v="Medium"/>
    <x v="1"/>
  </r>
  <r>
    <s v="TASK-1007"/>
    <x v="0"/>
    <s v="Facilities"/>
    <d v="2025-09-07T00:00:00"/>
    <d v="2025-09-12T00:00:00"/>
    <n v="6"/>
    <x v="5"/>
    <x v="1"/>
    <s v="Low"/>
    <x v="2"/>
  </r>
  <r>
    <s v="TASK-1008"/>
    <x v="1"/>
    <s v="IT"/>
    <d v="2025-08-11T00:00:00"/>
    <d v="2025-08-13T00:00:00"/>
    <n v="2"/>
    <x v="6"/>
    <x v="1"/>
    <s v="Medium"/>
    <x v="1"/>
  </r>
  <r>
    <s v="TASK-1009"/>
    <x v="4"/>
    <s v="Operations"/>
    <d v="2025-07-06T00:00:00"/>
    <d v="2025-07-13T00:00:00"/>
    <n v="5"/>
    <x v="3"/>
    <x v="0"/>
    <s v="Low"/>
    <x v="3"/>
  </r>
  <r>
    <s v="TASK-1010"/>
    <x v="3"/>
    <s v="Operations"/>
    <d v="2025-09-16T00:00:00"/>
    <d v="2025-09-18T00:00:00"/>
    <n v="1"/>
    <x v="6"/>
    <x v="0"/>
    <s v="High"/>
    <x v="4"/>
  </r>
  <r>
    <s v="TASK-1011"/>
    <x v="0"/>
    <s v="Operations"/>
    <d v="2025-07-23T00:00:00"/>
    <d v="2025-07-28T00:00:00"/>
    <n v="6"/>
    <x v="5"/>
    <x v="1"/>
    <s v="Medium"/>
    <x v="2"/>
  </r>
  <r>
    <s v="TASK-1012"/>
    <x v="4"/>
    <s v="Operations"/>
    <d v="2025-07-28T00:00:00"/>
    <d v="2025-07-30T00:00:00"/>
    <n v="2"/>
    <x v="6"/>
    <x v="1"/>
    <s v="Medium"/>
    <x v="1"/>
  </r>
  <r>
    <s v="TASK-1013"/>
    <x v="2"/>
    <s v="Finance"/>
    <d v="2025-08-23T00:00:00"/>
    <d v="2025-08-29T00:00:00"/>
    <n v="5"/>
    <x v="7"/>
    <x v="0"/>
    <s v="Low"/>
    <x v="4"/>
  </r>
  <r>
    <s v="TASK-1014"/>
    <x v="3"/>
    <s v="IT"/>
    <d v="2025-07-10T00:00:00"/>
    <d v="2025-07-18T00:00:00"/>
    <n v="5"/>
    <x v="4"/>
    <x v="0"/>
    <s v="Medium"/>
    <x v="0"/>
  </r>
  <r>
    <s v="TASK-1015"/>
    <x v="0"/>
    <s v="Finance"/>
    <d v="2025-08-20T00:00:00"/>
    <d v="2025-08-24T00:00:00"/>
    <n v="4"/>
    <x v="2"/>
    <x v="1"/>
    <s v="High"/>
    <x v="1"/>
  </r>
  <r>
    <s v="TASK-1016"/>
    <x v="1"/>
    <s v="HR"/>
    <d v="2025-09-02T00:00:00"/>
    <d v="2025-09-09T00:00:00"/>
    <n v="6"/>
    <x v="3"/>
    <x v="0"/>
    <s v="Medium"/>
    <x v="4"/>
  </r>
  <r>
    <s v="TASK-1017"/>
    <x v="3"/>
    <s v="IT"/>
    <d v="2025-09-08T00:00:00"/>
    <d v="2025-09-16T00:00:00"/>
    <n v="7"/>
    <x v="4"/>
    <x v="0"/>
    <s v="Low"/>
    <x v="4"/>
  </r>
  <r>
    <s v="TASK-1018"/>
    <x v="4"/>
    <s v="Facilities"/>
    <d v="2025-09-11T00:00:00"/>
    <d v="2025-09-19T00:00:00"/>
    <n v="7"/>
    <x v="4"/>
    <x v="0"/>
    <s v="Low"/>
    <x v="4"/>
  </r>
  <r>
    <s v="TASK-1019"/>
    <x v="3"/>
    <s v="HR"/>
    <d v="2025-09-26T00:00:00"/>
    <d v="2025-09-28T00:00:00"/>
    <n v="2"/>
    <x v="6"/>
    <x v="1"/>
    <s v="High"/>
    <x v="1"/>
  </r>
  <r>
    <s v="TASK-1020"/>
    <x v="0"/>
    <s v="Operations"/>
    <d v="2025-07-26T00:00:00"/>
    <d v="2025-08-01T00:00:00"/>
    <n v="3"/>
    <x v="7"/>
    <x v="0"/>
    <s v="High"/>
    <x v="0"/>
  </r>
  <r>
    <s v="TASK-1021"/>
    <x v="3"/>
    <s v="HR"/>
    <d v="2025-09-04T00:00:00"/>
    <d v="2025-09-12T00:00:00"/>
    <n v="5"/>
    <x v="4"/>
    <x v="0"/>
    <s v="Medium"/>
    <x v="0"/>
  </r>
  <r>
    <s v="TASK-1022"/>
    <x v="0"/>
    <s v="Operations"/>
    <d v="2025-08-01T00:00:00"/>
    <d v="2025-08-07T00:00:00"/>
    <n v="4"/>
    <x v="7"/>
    <x v="0"/>
    <s v="High"/>
    <x v="3"/>
  </r>
  <r>
    <s v="TASK-1023"/>
    <x v="0"/>
    <s v="IT"/>
    <d v="2025-09-21T00:00:00"/>
    <d v="2025-09-24T00:00:00"/>
    <n v="3"/>
    <x v="8"/>
    <x v="1"/>
    <s v="Medium"/>
    <x v="1"/>
  </r>
  <r>
    <s v="TASK-1024"/>
    <x v="4"/>
    <s v="Finance"/>
    <d v="2025-08-10T00:00:00"/>
    <d v="2025-08-16T00:00:00"/>
    <n v="5"/>
    <x v="7"/>
    <x v="0"/>
    <s v="Medium"/>
    <x v="4"/>
  </r>
  <r>
    <s v="TASK-1025"/>
    <x v="2"/>
    <s v="Finance"/>
    <d v="2025-09-21T00:00:00"/>
    <d v="2025-09-28T00:00:00"/>
    <n v="5"/>
    <x v="3"/>
    <x v="0"/>
    <s v="High"/>
    <x v="3"/>
  </r>
  <r>
    <s v="TASK-1026"/>
    <x v="2"/>
    <s v="Finance"/>
    <d v="2025-07-28T00:00:00"/>
    <d v="2025-08-03T00:00:00"/>
    <n v="6"/>
    <x v="7"/>
    <x v="1"/>
    <s v="High"/>
    <x v="1"/>
  </r>
  <r>
    <s v="TASK-1027"/>
    <x v="4"/>
    <s v="Operations"/>
    <d v="2025-09-22T00:00:00"/>
    <d v="2025-09-28T00:00:00"/>
    <n v="4"/>
    <x v="7"/>
    <x v="0"/>
    <s v="Medium"/>
    <x v="3"/>
  </r>
  <r>
    <s v="TASK-1028"/>
    <x v="4"/>
    <s v="Operations"/>
    <d v="2025-07-07T00:00:00"/>
    <d v="2025-07-16T00:00:00"/>
    <n v="7"/>
    <x v="1"/>
    <x v="0"/>
    <s v="High"/>
    <x v="3"/>
  </r>
  <r>
    <s v="TASK-1029"/>
    <x v="3"/>
    <s v="Facilities"/>
    <d v="2025-09-17T00:00:00"/>
    <d v="2025-09-21T00:00:00"/>
    <n v="4"/>
    <x v="2"/>
    <x v="1"/>
    <s v="Medium"/>
    <x v="1"/>
  </r>
  <r>
    <s v="TASK-1030"/>
    <x v="4"/>
    <s v="HR"/>
    <d v="2025-08-10T00:00:00"/>
    <d v="2025-08-12T00:00:00"/>
    <n v="2"/>
    <x v="6"/>
    <x v="1"/>
    <s v="Low"/>
    <x v="1"/>
  </r>
  <r>
    <s v="TASK-1031"/>
    <x v="2"/>
    <s v="Operations"/>
    <d v="2025-09-01T00:00:00"/>
    <d v="2025-09-07T00:00:00"/>
    <n v="4"/>
    <x v="7"/>
    <x v="0"/>
    <s v="Low"/>
    <x v="3"/>
  </r>
  <r>
    <s v="TASK-1032"/>
    <x v="2"/>
    <s v="Finance"/>
    <d v="2025-07-28T00:00:00"/>
    <d v="2025-08-01T00:00:00"/>
    <n v="1"/>
    <x v="2"/>
    <x v="0"/>
    <s v="Medium"/>
    <x v="0"/>
  </r>
  <r>
    <s v="TASK-1033"/>
    <x v="3"/>
    <s v="Finance"/>
    <d v="2025-08-28T00:00:00"/>
    <d v="2025-09-04T00:00:00"/>
    <n v="6"/>
    <x v="3"/>
    <x v="0"/>
    <s v="Medium"/>
    <x v="4"/>
  </r>
  <r>
    <s v="TASK-1034"/>
    <x v="1"/>
    <s v="Operations"/>
    <d v="2025-08-11T00:00:00"/>
    <d v="2025-08-18T00:00:00"/>
    <n v="5"/>
    <x v="3"/>
    <x v="0"/>
    <s v="High"/>
    <x v="3"/>
  </r>
  <r>
    <s v="TASK-1035"/>
    <x v="1"/>
    <s v="Operations"/>
    <d v="2025-09-11T00:00:00"/>
    <d v="2025-09-20T00:00:00"/>
    <n v="7"/>
    <x v="1"/>
    <x v="0"/>
    <s v="Medium"/>
    <x v="3"/>
  </r>
  <r>
    <s v="TASK-1036"/>
    <x v="2"/>
    <s v="HR"/>
    <d v="2025-08-27T00:00:00"/>
    <d v="2025-08-30T00:00:00"/>
    <n v="3"/>
    <x v="8"/>
    <x v="1"/>
    <s v="High"/>
    <x v="1"/>
  </r>
  <r>
    <s v="TASK-1037"/>
    <x v="3"/>
    <s v="IT"/>
    <d v="2025-09-06T00:00:00"/>
    <d v="2025-09-12T00:00:00"/>
    <n v="7"/>
    <x v="7"/>
    <x v="1"/>
    <s v="Medium"/>
    <x v="2"/>
  </r>
  <r>
    <s v="TASK-1038"/>
    <x v="3"/>
    <s v="Operations"/>
    <d v="2025-08-11T00:00:00"/>
    <d v="2025-08-15T00:00:00"/>
    <n v="1"/>
    <x v="2"/>
    <x v="0"/>
    <s v="High"/>
    <x v="0"/>
  </r>
  <r>
    <s v="TASK-1039"/>
    <x v="1"/>
    <s v="IT"/>
    <d v="2025-07-31T00:00:00"/>
    <d v="2025-08-04T00:00:00"/>
    <n v="4"/>
    <x v="2"/>
    <x v="1"/>
    <s v="Low"/>
    <x v="1"/>
  </r>
  <r>
    <s v="TASK-1040"/>
    <x v="0"/>
    <s v="Operations"/>
    <d v="2025-08-25T00:00:00"/>
    <d v="2025-08-28T00:00:00"/>
    <n v="1"/>
    <x v="8"/>
    <x v="0"/>
    <s v="Low"/>
    <x v="3"/>
  </r>
  <r>
    <s v="TASK-1041"/>
    <x v="0"/>
    <s v="HR"/>
    <d v="2025-08-08T00:00:00"/>
    <d v="2025-08-17T00:00:00"/>
    <n v="7"/>
    <x v="1"/>
    <x v="0"/>
    <s v="Low"/>
    <x v="3"/>
  </r>
  <r>
    <s v="TASK-1042"/>
    <x v="2"/>
    <s v="IT"/>
    <d v="2025-09-12T00:00:00"/>
    <d v="2025-09-21T00:00:00"/>
    <n v="7"/>
    <x v="1"/>
    <x v="0"/>
    <s v="Low"/>
    <x v="3"/>
  </r>
  <r>
    <s v="TASK-1043"/>
    <x v="4"/>
    <s v="HR"/>
    <d v="2025-08-10T00:00:00"/>
    <d v="2025-08-15T00:00:00"/>
    <n v="3"/>
    <x v="5"/>
    <x v="0"/>
    <s v="Low"/>
    <x v="3"/>
  </r>
  <r>
    <s v="TASK-1044"/>
    <x v="3"/>
    <s v="Finance"/>
    <d v="2025-09-17T00:00:00"/>
    <d v="2025-09-20T00:00:00"/>
    <n v="4"/>
    <x v="8"/>
    <x v="1"/>
    <s v="Medium"/>
    <x v="2"/>
  </r>
  <r>
    <s v="TASK-1045"/>
    <x v="4"/>
    <s v="Finance"/>
    <d v="2025-08-05T00:00:00"/>
    <d v="2025-08-06T00:00:00"/>
    <n v="1"/>
    <x v="9"/>
    <x v="1"/>
    <s v="Low"/>
    <x v="1"/>
  </r>
  <r>
    <s v="TASK-1046"/>
    <x v="0"/>
    <s v="Facilities"/>
    <d v="2025-09-07T00:00:00"/>
    <d v="2025-09-14T00:00:00"/>
    <n v="7"/>
    <x v="3"/>
    <x v="1"/>
    <s v="Medium"/>
    <x v="1"/>
  </r>
  <r>
    <s v="TASK-1047"/>
    <x v="0"/>
    <s v="IT"/>
    <d v="2025-07-26T00:00:00"/>
    <d v="2025-07-27T00:00:00"/>
    <n v="2"/>
    <x v="9"/>
    <x v="1"/>
    <s v="Medium"/>
    <x v="2"/>
  </r>
  <r>
    <s v="TASK-1048"/>
    <x v="3"/>
    <s v="Finance"/>
    <d v="2025-07-17T00:00:00"/>
    <d v="2025-07-20T00:00:00"/>
    <n v="3"/>
    <x v="8"/>
    <x v="1"/>
    <s v="Medium"/>
    <x v="1"/>
  </r>
  <r>
    <s v="TASK-1049"/>
    <x v="4"/>
    <s v="Operations"/>
    <d v="2025-08-21T00:00:00"/>
    <d v="2025-08-22T00:00:00"/>
    <n v="1"/>
    <x v="9"/>
    <x v="1"/>
    <s v="Medium"/>
    <x v="1"/>
  </r>
  <r>
    <s v="TASK-1050"/>
    <x v="4"/>
    <s v="IT"/>
    <d v="2025-07-07T00:00:00"/>
    <d v="2025-07-16T00:00:00"/>
    <n v="6"/>
    <x v="1"/>
    <x v="0"/>
    <s v="Medium"/>
    <x v="0"/>
  </r>
  <r>
    <s v="TASK-1051"/>
    <x v="2"/>
    <s v="Finance"/>
    <d v="2025-09-10T00:00:00"/>
    <d v="2025-09-19T00:00:00"/>
    <n v="7"/>
    <x v="1"/>
    <x v="0"/>
    <s v="Low"/>
    <x v="3"/>
  </r>
  <r>
    <s v="TASK-1052"/>
    <x v="3"/>
    <s v="IT"/>
    <d v="2025-08-25T00:00:00"/>
    <d v="2025-09-01T00:00:00"/>
    <n v="7"/>
    <x v="3"/>
    <x v="1"/>
    <s v="High"/>
    <x v="1"/>
  </r>
  <r>
    <s v="TASK-1053"/>
    <x v="3"/>
    <s v="Finance"/>
    <d v="2025-07-08T00:00:00"/>
    <d v="2025-07-09T00:00:00"/>
    <n v="1"/>
    <x v="9"/>
    <x v="1"/>
    <s v="Low"/>
    <x v="1"/>
  </r>
  <r>
    <s v="TASK-1054"/>
    <x v="2"/>
    <s v="Operations"/>
    <d v="2025-09-03T00:00:00"/>
    <d v="2025-09-09T00:00:00"/>
    <n v="4"/>
    <x v="7"/>
    <x v="0"/>
    <s v="High"/>
    <x v="3"/>
  </r>
  <r>
    <s v="TASK-1055"/>
    <x v="0"/>
    <s v="Finance"/>
    <d v="2025-08-12T00:00:00"/>
    <d v="2025-08-21T00:00:00"/>
    <n v="7"/>
    <x v="1"/>
    <x v="0"/>
    <s v="Medium"/>
    <x v="3"/>
  </r>
  <r>
    <s v="TASK-1056"/>
    <x v="1"/>
    <s v="Finance"/>
    <d v="2025-07-20T00:00:00"/>
    <d v="2025-07-26T00:00:00"/>
    <n v="3"/>
    <x v="7"/>
    <x v="0"/>
    <s v="High"/>
    <x v="0"/>
  </r>
  <r>
    <s v="TASK-1057"/>
    <x v="0"/>
    <s v="Operations"/>
    <d v="2025-08-17T00:00:00"/>
    <d v="2025-08-20T00:00:00"/>
    <n v="1"/>
    <x v="8"/>
    <x v="0"/>
    <s v="Medium"/>
    <x v="3"/>
  </r>
  <r>
    <s v="TASK-1058"/>
    <x v="4"/>
    <s v="Finance"/>
    <d v="2025-08-31T00:00:00"/>
    <d v="2025-09-06T00:00:00"/>
    <n v="6"/>
    <x v="7"/>
    <x v="1"/>
    <s v="Low"/>
    <x v="1"/>
  </r>
  <r>
    <s v="TASK-1059"/>
    <x v="2"/>
    <s v="Operations"/>
    <d v="2025-08-12T00:00:00"/>
    <d v="2025-08-15T00:00:00"/>
    <n v="4"/>
    <x v="8"/>
    <x v="1"/>
    <s v="Medium"/>
    <x v="2"/>
  </r>
  <r>
    <s v="TASK-1060"/>
    <x v="4"/>
    <s v="Operations"/>
    <d v="2025-08-19T00:00:00"/>
    <d v="2025-08-21T00:00:00"/>
    <n v="2"/>
    <x v="6"/>
    <x v="1"/>
    <s v="High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DE833-4C29-4BA7-922E-9F1DDE6C88B8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E3:H9" firstHeaderRow="0" firstDataRow="1" firstDataCol="1"/>
  <pivotFields count="10">
    <pivotField showAll="0"/>
    <pivotField axis="axisRow" showAll="0" sortType="descending">
      <items count="6">
        <item x="0"/>
        <item x="3"/>
        <item x="1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numFmtId="164" showAll="0"/>
    <pivotField numFmtId="164" showAll="0"/>
    <pivotField dataField="1" numFmtId="1" showAll="0"/>
    <pivotField dataField="1" numFmtId="1" showAll="0"/>
    <pivotField showAll="0"/>
    <pivotField showAll="0"/>
    <pivotField dataField="1" numFmtId="1" showAll="0">
      <items count="6">
        <item x="2"/>
        <item x="1"/>
        <item x="4"/>
        <item x="3"/>
        <item x="0"/>
        <item t="default"/>
      </items>
    </pivotField>
  </pivotFields>
  <rowFields count="1">
    <field x="1"/>
  </rowFields>
  <rowItems count="6">
    <i>
      <x v="2"/>
    </i>
    <i>
      <x v="4"/>
    </i>
    <i>
      <x v="3"/>
    </i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Expected_Days" fld="5" subtotal="average" baseField="1" baseItem="0" numFmtId="165"/>
    <dataField name="Average of Actual_Days" fld="6" subtotal="average" baseField="1" baseItem="0" numFmtId="165"/>
    <dataField name="Average of DelayDays" fld="9" subtotal="average" baseField="1" baseItem="0" numFmtId="165"/>
  </dataFields>
  <formats count="4">
    <format dxfId="27">
      <pivotArea collapsedLevelsAreSubtotals="1" fieldPosition="0">
        <references count="2">
          <reference field="4294967294" count="1" selected="0">
            <x v="2"/>
          </reference>
          <reference field="1" count="1">
            <x v="0"/>
          </reference>
        </references>
      </pivotArea>
    </format>
    <format dxfId="25">
      <pivotArea outline="0" fieldPosition="0">
        <references count="1">
          <reference field="4294967294" count="1">
            <x v="1"/>
          </reference>
        </references>
      </pivotArea>
    </format>
    <format dxfId="16">
      <pivotArea outline="0" fieldPosition="0">
        <references count="1">
          <reference field="4294967294" count="1">
            <x v="2"/>
          </reference>
        </references>
      </pivotArea>
    </format>
    <format dxfId="12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85AD8E-877C-4FF5-978B-4805042107E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10">
    <pivotField dataField="1" showAll="0"/>
    <pivotField showAll="0"/>
    <pivotField showAll="0"/>
    <pivotField numFmtId="164" showAll="0"/>
    <pivotField numFmtId="164"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showAll="0"/>
    <pivotField numFmtI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Task_ID" fld="0" subtotal="count" baseField="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70C93B-C4D8-43DF-AA56-FB1D9BE33919}" name="OperationalTasks" displayName="OperationalTasks" ref="A1:J61" totalsRowShown="0">
  <autoFilter ref="A1:J61" xr:uid="{4470C93B-C4D8-43DF-AA56-FB1D9BE33919}"/>
  <sortState xmlns:xlrd2="http://schemas.microsoft.com/office/spreadsheetml/2017/richdata2" ref="A2:J61">
    <sortCondition ref="B1:B61"/>
  </sortState>
  <tableColumns count="10">
    <tableColumn id="1" xr3:uid="{BAD91BAF-145F-4C5B-A13B-B3DBDC2DD06E}" name="Task_ID"/>
    <tableColumn id="2" xr3:uid="{071F37ED-5D70-4A0E-9464-59D0299388C8}" name="Task_Type"/>
    <tableColumn id="3" xr3:uid="{F8FC8D3B-299C-49C8-9D63-472339B442FB}" name="Department"/>
    <tableColumn id="4" xr3:uid="{E40C42F7-6A5A-40DC-B7B5-C379F566244C}" name="Assigned_Date" dataDxfId="32"/>
    <tableColumn id="5" xr3:uid="{E90EF161-B3AE-4BFB-AB48-F2ED480FBE34}" name="Completed_Date" dataDxfId="31"/>
    <tableColumn id="6" xr3:uid="{ED965B97-89F6-4C53-B062-7D8D137C95DC}" name="Expected_Days" dataDxfId="30"/>
    <tableColumn id="7" xr3:uid="{F1EC8EB9-D9CF-4FD5-BB67-A36593C153A3}" name="Actual_Days" dataDxfId="29"/>
    <tableColumn id="8" xr3:uid="{52D0B6E1-98CF-44B0-BA77-6F5630E4B503}" name="Status"/>
    <tableColumn id="9" xr3:uid="{F4A2288F-9DD7-467F-81C6-358D92B70B45}" name="Priority"/>
    <tableColumn id="10" xr3:uid="{049DDAFE-15F2-4CFC-A793-6AF288A343C3}" name="DelayDays" dataDxfId="28">
      <calculatedColumnFormula>OperationalTasks[[#This Row],[Actual_Days]]-OperationalTasks[[#This Row],[Expected_Days]]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3691-1AA4-4CF5-972C-8034FE613FB0}">
  <dimension ref="A3:H9"/>
  <sheetViews>
    <sheetView topLeftCell="A25" workbookViewId="0">
      <selection activeCell="E54" sqref="E54"/>
    </sheetView>
  </sheetViews>
  <sheetFormatPr defaultRowHeight="15" x14ac:dyDescent="0.25"/>
  <cols>
    <col min="1" max="1" width="13.140625" bestFit="1" customWidth="1"/>
    <col min="2" max="2" width="15.85546875" bestFit="1" customWidth="1"/>
    <col min="5" max="5" width="17.28515625" bestFit="1" customWidth="1"/>
    <col min="6" max="6" width="24.7109375" bestFit="1" customWidth="1"/>
    <col min="7" max="7" width="22.140625" bestFit="1" customWidth="1"/>
    <col min="8" max="8" width="20.42578125" bestFit="1" customWidth="1"/>
  </cols>
  <sheetData>
    <row r="3" spans="1:8" x14ac:dyDescent="0.25">
      <c r="A3" s="3" t="s">
        <v>85</v>
      </c>
      <c r="B3" t="s">
        <v>87</v>
      </c>
      <c r="E3" s="3" t="s">
        <v>85</v>
      </c>
      <c r="F3" t="s">
        <v>90</v>
      </c>
      <c r="G3" t="s">
        <v>89</v>
      </c>
      <c r="H3" t="s">
        <v>91</v>
      </c>
    </row>
    <row r="4" spans="1:8" x14ac:dyDescent="0.25">
      <c r="A4" s="4" t="s">
        <v>12</v>
      </c>
      <c r="B4" s="5">
        <v>33</v>
      </c>
      <c r="E4" s="4" t="s">
        <v>15</v>
      </c>
      <c r="F4" s="7">
        <v>5</v>
      </c>
      <c r="G4" s="7">
        <v>6.5555555555555554</v>
      </c>
      <c r="H4" s="7">
        <v>1.5555555555555556</v>
      </c>
    </row>
    <row r="5" spans="1:8" x14ac:dyDescent="0.25">
      <c r="A5" s="4" t="s">
        <v>20</v>
      </c>
      <c r="B5" s="5">
        <v>27</v>
      </c>
      <c r="E5" s="4" t="s">
        <v>18</v>
      </c>
      <c r="F5" s="7">
        <v>4.5454545454545459</v>
      </c>
      <c r="G5" s="7">
        <v>5.7272727272727275</v>
      </c>
      <c r="H5" s="7">
        <v>1.1818181818181819</v>
      </c>
    </row>
    <row r="6" spans="1:8" x14ac:dyDescent="0.25">
      <c r="A6" s="4" t="s">
        <v>86</v>
      </c>
      <c r="B6" s="5">
        <v>60</v>
      </c>
      <c r="E6" s="4" t="s">
        <v>32</v>
      </c>
      <c r="F6" s="7">
        <v>3.9230769230769229</v>
      </c>
      <c r="G6" s="7">
        <v>4.9230769230769234</v>
      </c>
      <c r="H6" s="7">
        <v>1</v>
      </c>
    </row>
    <row r="7" spans="1:8" x14ac:dyDescent="0.25">
      <c r="E7" s="4" t="s">
        <v>10</v>
      </c>
      <c r="F7" s="7">
        <v>4.4615384615384617</v>
      </c>
      <c r="G7" s="7">
        <v>5.4615384615384617</v>
      </c>
      <c r="H7" s="7">
        <v>1</v>
      </c>
    </row>
    <row r="8" spans="1:8" x14ac:dyDescent="0.25">
      <c r="A8" s="4" t="s">
        <v>88</v>
      </c>
      <c r="B8" s="6">
        <f>GETPIVOTDATA("Task_ID",$A$3,"Status","Delayed")/(GETPIVOTDATA("Task_ID",$A$3,"Status","On Time")+GETPIVOTDATA("Task_ID",$A$3,"Status","Delayed"))</f>
        <v>0.55000000000000004</v>
      </c>
      <c r="E8" s="4" t="s">
        <v>23</v>
      </c>
      <c r="F8" s="7">
        <v>4.2857142857142856</v>
      </c>
      <c r="G8" s="7">
        <v>5</v>
      </c>
      <c r="H8" s="7">
        <v>0.7142857142857143</v>
      </c>
    </row>
    <row r="9" spans="1:8" x14ac:dyDescent="0.25">
      <c r="E9" s="4" t="s">
        <v>86</v>
      </c>
      <c r="F9" s="7">
        <v>4.4000000000000004</v>
      </c>
      <c r="G9" s="7">
        <v>5.45</v>
      </c>
      <c r="H9" s="7">
        <v>1.05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D3D6-1C40-4D8E-A798-4F80216C7AD6}">
  <dimension ref="A1:F16"/>
  <sheetViews>
    <sheetView workbookViewId="0">
      <selection activeCell="A9" sqref="A9"/>
    </sheetView>
  </sheetViews>
  <sheetFormatPr defaultRowHeight="15" x14ac:dyDescent="0.25"/>
  <cols>
    <col min="1" max="1" width="51.28515625" customWidth="1"/>
  </cols>
  <sheetData>
    <row r="1" spans="1:6" ht="21" x14ac:dyDescent="0.35">
      <c r="A1" s="8" t="s">
        <v>92</v>
      </c>
    </row>
    <row r="3" spans="1:6" ht="195" customHeight="1" x14ac:dyDescent="0.25">
      <c r="A3" s="10" t="s">
        <v>93</v>
      </c>
      <c r="B3" s="10"/>
      <c r="C3" s="10"/>
      <c r="D3" s="9"/>
      <c r="E3" s="9"/>
      <c r="F3" s="9"/>
    </row>
    <row r="4" spans="1:6" ht="17.25" customHeight="1" x14ac:dyDescent="0.25">
      <c r="A4" s="9"/>
      <c r="B4" s="9"/>
      <c r="C4" s="9"/>
      <c r="D4" s="9"/>
      <c r="E4" s="9"/>
      <c r="F4" s="9"/>
    </row>
    <row r="5" spans="1:6" ht="15" customHeight="1" x14ac:dyDescent="0.25"/>
    <row r="7" spans="1:6" ht="15" customHeight="1" x14ac:dyDescent="0.25"/>
    <row r="9" spans="1:6" ht="15" customHeight="1" x14ac:dyDescent="0.25"/>
    <row r="15" spans="1:6" x14ac:dyDescent="0.25">
      <c r="A15" t="s">
        <v>94</v>
      </c>
    </row>
    <row r="16" spans="1:6" x14ac:dyDescent="0.25">
      <c r="A16" t="s">
        <v>95</v>
      </c>
    </row>
  </sheetData>
  <mergeCells count="1"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2" workbookViewId="0">
      <selection activeCell="E7" sqref="E7"/>
    </sheetView>
  </sheetViews>
  <sheetFormatPr defaultRowHeight="15" x14ac:dyDescent="0.25"/>
  <cols>
    <col min="1" max="1" width="9.85546875" customWidth="1"/>
    <col min="2" max="2" width="12.28515625" customWidth="1"/>
    <col min="3" max="3" width="13.85546875" customWidth="1"/>
    <col min="4" max="4" width="16.28515625" customWidth="1"/>
    <col min="5" max="5" width="18.140625" customWidth="1"/>
    <col min="6" max="6" width="16.42578125" style="2" customWidth="1"/>
    <col min="7" max="7" width="13.85546875" style="2" customWidth="1"/>
    <col min="9" max="9" width="9.7109375" customWidth="1"/>
    <col min="10" max="10" width="20.140625" style="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s="2" t="s">
        <v>84</v>
      </c>
    </row>
    <row r="2" spans="1:10" x14ac:dyDescent="0.25">
      <c r="A2" t="s">
        <v>9</v>
      </c>
      <c r="B2" t="s">
        <v>10</v>
      </c>
      <c r="C2" t="s">
        <v>11</v>
      </c>
      <c r="D2" s="1">
        <v>45875</v>
      </c>
      <c r="E2" s="1">
        <v>45885</v>
      </c>
      <c r="F2" s="2">
        <v>7</v>
      </c>
      <c r="G2" s="2">
        <v>10</v>
      </c>
      <c r="H2" t="s">
        <v>12</v>
      </c>
      <c r="I2" t="s">
        <v>13</v>
      </c>
      <c r="J2" s="2">
        <f>OperationalTasks[[#This Row],[Actual_Days]]-OperationalTasks[[#This Row],[Expected_Days]]</f>
        <v>3</v>
      </c>
    </row>
    <row r="3" spans="1:10" x14ac:dyDescent="0.25">
      <c r="A3" t="s">
        <v>28</v>
      </c>
      <c r="B3" t="s">
        <v>10</v>
      </c>
      <c r="C3" t="s">
        <v>29</v>
      </c>
      <c r="D3" s="1">
        <v>45907</v>
      </c>
      <c r="E3" s="1">
        <v>45912</v>
      </c>
      <c r="F3" s="2">
        <v>6</v>
      </c>
      <c r="G3" s="2">
        <v>5</v>
      </c>
      <c r="H3" t="s">
        <v>20</v>
      </c>
      <c r="I3" t="s">
        <v>21</v>
      </c>
      <c r="J3" s="2">
        <f>OperationalTasks[[#This Row],[Actual_Days]]-OperationalTasks[[#This Row],[Expected_Days]]</f>
        <v>-1</v>
      </c>
    </row>
    <row r="4" spans="1:10" x14ac:dyDescent="0.25">
      <c r="A4" t="s">
        <v>34</v>
      </c>
      <c r="B4" t="s">
        <v>10</v>
      </c>
      <c r="C4" t="s">
        <v>16</v>
      </c>
      <c r="D4" s="1">
        <v>45861</v>
      </c>
      <c r="E4" s="1">
        <v>45866</v>
      </c>
      <c r="F4" s="2">
        <v>6</v>
      </c>
      <c r="G4" s="2">
        <v>5</v>
      </c>
      <c r="H4" t="s">
        <v>20</v>
      </c>
      <c r="I4" t="s">
        <v>27</v>
      </c>
      <c r="J4" s="2">
        <f>OperationalTasks[[#This Row],[Actual_Days]]-OperationalTasks[[#This Row],[Expected_Days]]</f>
        <v>-1</v>
      </c>
    </row>
    <row r="5" spans="1:10" x14ac:dyDescent="0.25">
      <c r="A5" t="s">
        <v>38</v>
      </c>
      <c r="B5" t="s">
        <v>10</v>
      </c>
      <c r="C5" t="s">
        <v>26</v>
      </c>
      <c r="D5" s="1">
        <v>45889</v>
      </c>
      <c r="E5" s="1">
        <v>45893</v>
      </c>
      <c r="F5" s="2">
        <v>4</v>
      </c>
      <c r="G5" s="2">
        <v>4</v>
      </c>
      <c r="H5" t="s">
        <v>20</v>
      </c>
      <c r="I5" t="s">
        <v>13</v>
      </c>
      <c r="J5" s="2">
        <f>OperationalTasks[[#This Row],[Actual_Days]]-OperationalTasks[[#This Row],[Expected_Days]]</f>
        <v>0</v>
      </c>
    </row>
    <row r="6" spans="1:10" x14ac:dyDescent="0.25">
      <c r="A6" t="s">
        <v>43</v>
      </c>
      <c r="B6" t="s">
        <v>10</v>
      </c>
      <c r="C6" t="s">
        <v>16</v>
      </c>
      <c r="D6" s="1">
        <v>45864</v>
      </c>
      <c r="E6" s="1">
        <v>45870</v>
      </c>
      <c r="F6" s="2">
        <v>3</v>
      </c>
      <c r="G6" s="2">
        <v>6</v>
      </c>
      <c r="H6" t="s">
        <v>12</v>
      </c>
      <c r="I6" t="s">
        <v>13</v>
      </c>
      <c r="J6" s="2">
        <f>OperationalTasks[[#This Row],[Actual_Days]]-OperationalTasks[[#This Row],[Expected_Days]]</f>
        <v>3</v>
      </c>
    </row>
    <row r="7" spans="1:10" x14ac:dyDescent="0.25">
      <c r="A7" t="s">
        <v>45</v>
      </c>
      <c r="B7" t="s">
        <v>10</v>
      </c>
      <c r="C7" t="s">
        <v>16</v>
      </c>
      <c r="D7" s="1">
        <v>45870</v>
      </c>
      <c r="E7" s="1">
        <v>45876</v>
      </c>
      <c r="F7" s="2">
        <v>4</v>
      </c>
      <c r="G7" s="2">
        <v>6</v>
      </c>
      <c r="H7" t="s">
        <v>12</v>
      </c>
      <c r="I7" t="s">
        <v>13</v>
      </c>
      <c r="J7" s="2">
        <f>OperationalTasks[[#This Row],[Actual_Days]]-OperationalTasks[[#This Row],[Expected_Days]]</f>
        <v>2</v>
      </c>
    </row>
    <row r="8" spans="1:10" x14ac:dyDescent="0.25">
      <c r="A8" t="s">
        <v>46</v>
      </c>
      <c r="B8" t="s">
        <v>10</v>
      </c>
      <c r="C8" t="s">
        <v>19</v>
      </c>
      <c r="D8" s="1">
        <v>45921</v>
      </c>
      <c r="E8" s="1">
        <v>45924</v>
      </c>
      <c r="F8" s="2">
        <v>3</v>
      </c>
      <c r="G8" s="2">
        <v>3</v>
      </c>
      <c r="H8" t="s">
        <v>20</v>
      </c>
      <c r="I8" t="s">
        <v>27</v>
      </c>
      <c r="J8" s="2">
        <f>OperationalTasks[[#This Row],[Actual_Days]]-OperationalTasks[[#This Row],[Expected_Days]]</f>
        <v>0</v>
      </c>
    </row>
    <row r="9" spans="1:10" x14ac:dyDescent="0.25">
      <c r="A9" t="s">
        <v>63</v>
      </c>
      <c r="B9" t="s">
        <v>10</v>
      </c>
      <c r="C9" t="s">
        <v>16</v>
      </c>
      <c r="D9" s="1">
        <v>45894</v>
      </c>
      <c r="E9" s="1">
        <v>45897</v>
      </c>
      <c r="F9" s="2">
        <v>1</v>
      </c>
      <c r="G9" s="2">
        <v>3</v>
      </c>
      <c r="H9" t="s">
        <v>12</v>
      </c>
      <c r="I9" t="s">
        <v>21</v>
      </c>
      <c r="J9" s="2">
        <f>OperationalTasks[[#This Row],[Actual_Days]]-OperationalTasks[[#This Row],[Expected_Days]]</f>
        <v>2</v>
      </c>
    </row>
    <row r="10" spans="1:10" x14ac:dyDescent="0.25">
      <c r="A10" t="s">
        <v>64</v>
      </c>
      <c r="B10" t="s">
        <v>10</v>
      </c>
      <c r="C10" t="s">
        <v>11</v>
      </c>
      <c r="D10" s="1">
        <v>45877</v>
      </c>
      <c r="E10" s="1">
        <v>45886</v>
      </c>
      <c r="F10" s="2">
        <v>7</v>
      </c>
      <c r="G10" s="2">
        <v>9</v>
      </c>
      <c r="H10" t="s">
        <v>12</v>
      </c>
      <c r="I10" t="s">
        <v>21</v>
      </c>
      <c r="J10" s="2">
        <f>OperationalTasks[[#This Row],[Actual_Days]]-OperationalTasks[[#This Row],[Expected_Days]]</f>
        <v>2</v>
      </c>
    </row>
    <row r="11" spans="1:10" x14ac:dyDescent="0.25">
      <c r="A11" t="s">
        <v>69</v>
      </c>
      <c r="B11" t="s">
        <v>10</v>
      </c>
      <c r="C11" t="s">
        <v>29</v>
      </c>
      <c r="D11" s="1">
        <v>45907</v>
      </c>
      <c r="E11" s="1">
        <v>45914</v>
      </c>
      <c r="F11" s="2">
        <v>7</v>
      </c>
      <c r="G11" s="2">
        <v>7</v>
      </c>
      <c r="H11" t="s">
        <v>20</v>
      </c>
      <c r="I11" t="s">
        <v>27</v>
      </c>
      <c r="J11" s="2">
        <f>OperationalTasks[[#This Row],[Actual_Days]]-OperationalTasks[[#This Row],[Expected_Days]]</f>
        <v>0</v>
      </c>
    </row>
    <row r="12" spans="1:10" x14ac:dyDescent="0.25">
      <c r="A12" t="s">
        <v>70</v>
      </c>
      <c r="B12" t="s">
        <v>10</v>
      </c>
      <c r="C12" t="s">
        <v>19</v>
      </c>
      <c r="D12" s="1">
        <v>45864</v>
      </c>
      <c r="E12" s="1">
        <v>45865</v>
      </c>
      <c r="F12" s="2">
        <v>2</v>
      </c>
      <c r="G12" s="2">
        <v>1</v>
      </c>
      <c r="H12" t="s">
        <v>20</v>
      </c>
      <c r="I12" t="s">
        <v>27</v>
      </c>
      <c r="J12" s="2">
        <f>OperationalTasks[[#This Row],[Actual_Days]]-OperationalTasks[[#This Row],[Expected_Days]]</f>
        <v>-1</v>
      </c>
    </row>
    <row r="13" spans="1:10" x14ac:dyDescent="0.25">
      <c r="A13" t="s">
        <v>78</v>
      </c>
      <c r="B13" t="s">
        <v>10</v>
      </c>
      <c r="C13" t="s">
        <v>26</v>
      </c>
      <c r="D13" s="1">
        <v>45881</v>
      </c>
      <c r="E13" s="1">
        <v>45890</v>
      </c>
      <c r="F13" s="2">
        <v>7</v>
      </c>
      <c r="G13" s="2">
        <v>9</v>
      </c>
      <c r="H13" t="s">
        <v>12</v>
      </c>
      <c r="I13" t="s">
        <v>27</v>
      </c>
      <c r="J13" s="2">
        <f>OperationalTasks[[#This Row],[Actual_Days]]-OperationalTasks[[#This Row],[Expected_Days]]</f>
        <v>2</v>
      </c>
    </row>
    <row r="14" spans="1:10" x14ac:dyDescent="0.25">
      <c r="A14" t="s">
        <v>80</v>
      </c>
      <c r="B14" t="s">
        <v>10</v>
      </c>
      <c r="C14" t="s">
        <v>16</v>
      </c>
      <c r="D14" s="1">
        <v>45886</v>
      </c>
      <c r="E14" s="1">
        <v>45889</v>
      </c>
      <c r="F14" s="2">
        <v>1</v>
      </c>
      <c r="G14" s="2">
        <v>3</v>
      </c>
      <c r="H14" t="s">
        <v>12</v>
      </c>
      <c r="I14" t="s">
        <v>27</v>
      </c>
      <c r="J14" s="2">
        <f>OperationalTasks[[#This Row],[Actual_Days]]-OperationalTasks[[#This Row],[Expected_Days]]</f>
        <v>2</v>
      </c>
    </row>
    <row r="15" spans="1:10" x14ac:dyDescent="0.25">
      <c r="A15" t="s">
        <v>22</v>
      </c>
      <c r="B15" t="s">
        <v>23</v>
      </c>
      <c r="C15" t="s">
        <v>16</v>
      </c>
      <c r="D15" s="1">
        <v>45907</v>
      </c>
      <c r="E15" s="1">
        <v>45914</v>
      </c>
      <c r="F15" s="2">
        <v>7</v>
      </c>
      <c r="G15" s="2">
        <v>7</v>
      </c>
      <c r="H15" t="s">
        <v>20</v>
      </c>
      <c r="I15" t="s">
        <v>21</v>
      </c>
      <c r="J15" s="2">
        <f>OperationalTasks[[#This Row],[Actual_Days]]-OperationalTasks[[#This Row],[Expected_Days]]</f>
        <v>0</v>
      </c>
    </row>
    <row r="16" spans="1:10" x14ac:dyDescent="0.25">
      <c r="A16" t="s">
        <v>33</v>
      </c>
      <c r="B16" t="s">
        <v>23</v>
      </c>
      <c r="C16" t="s">
        <v>16</v>
      </c>
      <c r="D16" s="1">
        <v>45916</v>
      </c>
      <c r="E16" s="1">
        <v>45918</v>
      </c>
      <c r="F16" s="2">
        <v>1</v>
      </c>
      <c r="G16" s="2">
        <v>2</v>
      </c>
      <c r="H16" t="s">
        <v>12</v>
      </c>
      <c r="I16" t="s">
        <v>13</v>
      </c>
      <c r="J16" s="2">
        <f>OperationalTasks[[#This Row],[Actual_Days]]-OperationalTasks[[#This Row],[Expected_Days]]</f>
        <v>1</v>
      </c>
    </row>
    <row r="17" spans="1:10" x14ac:dyDescent="0.25">
      <c r="A17" t="s">
        <v>37</v>
      </c>
      <c r="B17" t="s">
        <v>23</v>
      </c>
      <c r="C17" t="s">
        <v>19</v>
      </c>
      <c r="D17" s="1">
        <v>45848</v>
      </c>
      <c r="E17" s="1">
        <v>45856</v>
      </c>
      <c r="F17" s="2">
        <v>5</v>
      </c>
      <c r="G17" s="2">
        <v>8</v>
      </c>
      <c r="H17" t="s">
        <v>12</v>
      </c>
      <c r="I17" t="s">
        <v>27</v>
      </c>
      <c r="J17" s="2">
        <f>OperationalTasks[[#This Row],[Actual_Days]]-OperationalTasks[[#This Row],[Expected_Days]]</f>
        <v>3</v>
      </c>
    </row>
    <row r="18" spans="1:10" x14ac:dyDescent="0.25">
      <c r="A18" t="s">
        <v>40</v>
      </c>
      <c r="B18" t="s">
        <v>23</v>
      </c>
      <c r="C18" t="s">
        <v>19</v>
      </c>
      <c r="D18" s="1">
        <v>45908</v>
      </c>
      <c r="E18" s="1">
        <v>45916</v>
      </c>
      <c r="F18" s="2">
        <v>7</v>
      </c>
      <c r="G18" s="2">
        <v>8</v>
      </c>
      <c r="H18" t="s">
        <v>12</v>
      </c>
      <c r="I18" t="s">
        <v>21</v>
      </c>
      <c r="J18" s="2">
        <f>OperationalTasks[[#This Row],[Actual_Days]]-OperationalTasks[[#This Row],[Expected_Days]]</f>
        <v>1</v>
      </c>
    </row>
    <row r="19" spans="1:10" x14ac:dyDescent="0.25">
      <c r="A19" t="s">
        <v>42</v>
      </c>
      <c r="B19" t="s">
        <v>23</v>
      </c>
      <c r="C19" t="s">
        <v>11</v>
      </c>
      <c r="D19" s="1">
        <v>45926</v>
      </c>
      <c r="E19" s="1">
        <v>45928</v>
      </c>
      <c r="F19" s="2">
        <v>2</v>
      </c>
      <c r="G19" s="2">
        <v>2</v>
      </c>
      <c r="H19" t="s">
        <v>20</v>
      </c>
      <c r="I19" t="s">
        <v>13</v>
      </c>
      <c r="J19" s="2">
        <f>OperationalTasks[[#This Row],[Actual_Days]]-OperationalTasks[[#This Row],[Expected_Days]]</f>
        <v>0</v>
      </c>
    </row>
    <row r="20" spans="1:10" x14ac:dyDescent="0.25">
      <c r="A20" t="s">
        <v>44</v>
      </c>
      <c r="B20" t="s">
        <v>23</v>
      </c>
      <c r="C20" t="s">
        <v>11</v>
      </c>
      <c r="D20" s="1">
        <v>45904</v>
      </c>
      <c r="E20" s="1">
        <v>45912</v>
      </c>
      <c r="F20" s="2">
        <v>5</v>
      </c>
      <c r="G20" s="2">
        <v>8</v>
      </c>
      <c r="H20" t="s">
        <v>12</v>
      </c>
      <c r="I20" t="s">
        <v>27</v>
      </c>
      <c r="J20" s="2">
        <f>OperationalTasks[[#This Row],[Actual_Days]]-OperationalTasks[[#This Row],[Expected_Days]]</f>
        <v>3</v>
      </c>
    </row>
    <row r="21" spans="1:10" x14ac:dyDescent="0.25">
      <c r="A21" t="s">
        <v>52</v>
      </c>
      <c r="B21" t="s">
        <v>23</v>
      </c>
      <c r="C21" t="s">
        <v>29</v>
      </c>
      <c r="D21" s="1">
        <v>45917</v>
      </c>
      <c r="E21" s="1">
        <v>45921</v>
      </c>
      <c r="F21" s="2">
        <v>4</v>
      </c>
      <c r="G21" s="2">
        <v>4</v>
      </c>
      <c r="H21" t="s">
        <v>20</v>
      </c>
      <c r="I21" t="s">
        <v>27</v>
      </c>
      <c r="J21" s="2">
        <f>OperationalTasks[[#This Row],[Actual_Days]]-OperationalTasks[[#This Row],[Expected_Days]]</f>
        <v>0</v>
      </c>
    </row>
    <row r="22" spans="1:10" x14ac:dyDescent="0.25">
      <c r="A22" t="s">
        <v>56</v>
      </c>
      <c r="B22" t="s">
        <v>23</v>
      </c>
      <c r="C22" t="s">
        <v>26</v>
      </c>
      <c r="D22" s="1">
        <v>45897</v>
      </c>
      <c r="E22" s="1">
        <v>45904</v>
      </c>
      <c r="F22" s="2">
        <v>6</v>
      </c>
      <c r="G22" s="2">
        <v>7</v>
      </c>
      <c r="H22" t="s">
        <v>12</v>
      </c>
      <c r="I22" t="s">
        <v>27</v>
      </c>
      <c r="J22" s="2">
        <f>OperationalTasks[[#This Row],[Actual_Days]]-OperationalTasks[[#This Row],[Expected_Days]]</f>
        <v>1</v>
      </c>
    </row>
    <row r="23" spans="1:10" x14ac:dyDescent="0.25">
      <c r="A23" t="s">
        <v>60</v>
      </c>
      <c r="B23" t="s">
        <v>23</v>
      </c>
      <c r="C23" t="s">
        <v>19</v>
      </c>
      <c r="D23" s="1">
        <v>45906</v>
      </c>
      <c r="E23" s="1">
        <v>45912</v>
      </c>
      <c r="F23" s="2">
        <v>7</v>
      </c>
      <c r="G23" s="2">
        <v>6</v>
      </c>
      <c r="H23" t="s">
        <v>20</v>
      </c>
      <c r="I23" t="s">
        <v>27</v>
      </c>
      <c r="J23" s="2">
        <f>OperationalTasks[[#This Row],[Actual_Days]]-OperationalTasks[[#This Row],[Expected_Days]]</f>
        <v>-1</v>
      </c>
    </row>
    <row r="24" spans="1:10" x14ac:dyDescent="0.25">
      <c r="A24" t="s">
        <v>61</v>
      </c>
      <c r="B24" t="s">
        <v>23</v>
      </c>
      <c r="C24" t="s">
        <v>16</v>
      </c>
      <c r="D24" s="1">
        <v>45880</v>
      </c>
      <c r="E24" s="1">
        <v>45884</v>
      </c>
      <c r="F24" s="2">
        <v>1</v>
      </c>
      <c r="G24" s="2">
        <v>4</v>
      </c>
      <c r="H24" t="s">
        <v>12</v>
      </c>
      <c r="I24" t="s">
        <v>13</v>
      </c>
      <c r="J24" s="2">
        <f>OperationalTasks[[#This Row],[Actual_Days]]-OperationalTasks[[#This Row],[Expected_Days]]</f>
        <v>3</v>
      </c>
    </row>
    <row r="25" spans="1:10" x14ac:dyDescent="0.25">
      <c r="A25" t="s">
        <v>67</v>
      </c>
      <c r="B25" t="s">
        <v>23</v>
      </c>
      <c r="C25" t="s">
        <v>26</v>
      </c>
      <c r="D25" s="1">
        <v>45917</v>
      </c>
      <c r="E25" s="1">
        <v>45920</v>
      </c>
      <c r="F25" s="2">
        <v>4</v>
      </c>
      <c r="G25" s="2">
        <v>3</v>
      </c>
      <c r="H25" t="s">
        <v>20</v>
      </c>
      <c r="I25" t="s">
        <v>27</v>
      </c>
      <c r="J25" s="2">
        <f>OperationalTasks[[#This Row],[Actual_Days]]-OperationalTasks[[#This Row],[Expected_Days]]</f>
        <v>-1</v>
      </c>
    </row>
    <row r="26" spans="1:10" x14ac:dyDescent="0.25">
      <c r="A26" t="s">
        <v>71</v>
      </c>
      <c r="B26" t="s">
        <v>23</v>
      </c>
      <c r="C26" t="s">
        <v>26</v>
      </c>
      <c r="D26" s="1">
        <v>45855</v>
      </c>
      <c r="E26" s="1">
        <v>45858</v>
      </c>
      <c r="F26" s="2">
        <v>3</v>
      </c>
      <c r="G26" s="2">
        <v>3</v>
      </c>
      <c r="H26" t="s">
        <v>20</v>
      </c>
      <c r="I26" t="s">
        <v>27</v>
      </c>
      <c r="J26" s="2">
        <f>OperationalTasks[[#This Row],[Actual_Days]]-OperationalTasks[[#This Row],[Expected_Days]]</f>
        <v>0</v>
      </c>
    </row>
    <row r="27" spans="1:10" x14ac:dyDescent="0.25">
      <c r="A27" t="s">
        <v>75</v>
      </c>
      <c r="B27" t="s">
        <v>23</v>
      </c>
      <c r="C27" t="s">
        <v>19</v>
      </c>
      <c r="D27" s="1">
        <v>45894</v>
      </c>
      <c r="E27" s="1">
        <v>45901</v>
      </c>
      <c r="F27" s="2">
        <v>7</v>
      </c>
      <c r="G27" s="2">
        <v>7</v>
      </c>
      <c r="H27" t="s">
        <v>20</v>
      </c>
      <c r="I27" t="s">
        <v>13</v>
      </c>
      <c r="J27" s="2">
        <f>OperationalTasks[[#This Row],[Actual_Days]]-OperationalTasks[[#This Row],[Expected_Days]]</f>
        <v>0</v>
      </c>
    </row>
    <row r="28" spans="1:10" x14ac:dyDescent="0.25">
      <c r="A28" t="s">
        <v>76</v>
      </c>
      <c r="B28" t="s">
        <v>23</v>
      </c>
      <c r="C28" t="s">
        <v>26</v>
      </c>
      <c r="D28" s="1">
        <v>45846</v>
      </c>
      <c r="E28" s="1">
        <v>45847</v>
      </c>
      <c r="F28" s="2">
        <v>1</v>
      </c>
      <c r="G28" s="2">
        <v>1</v>
      </c>
      <c r="H28" t="s">
        <v>20</v>
      </c>
      <c r="I28" t="s">
        <v>21</v>
      </c>
      <c r="J28" s="2">
        <f>OperationalTasks[[#This Row],[Actual_Days]]-OperationalTasks[[#This Row],[Expected_Days]]</f>
        <v>0</v>
      </c>
    </row>
    <row r="29" spans="1:10" x14ac:dyDescent="0.25">
      <c r="A29" t="s">
        <v>14</v>
      </c>
      <c r="B29" t="s">
        <v>15</v>
      </c>
      <c r="C29" t="s">
        <v>16</v>
      </c>
      <c r="D29" s="1">
        <v>45859</v>
      </c>
      <c r="E29" s="1">
        <v>45868</v>
      </c>
      <c r="F29" s="2">
        <v>6</v>
      </c>
      <c r="G29" s="2">
        <v>9</v>
      </c>
      <c r="H29" t="s">
        <v>12</v>
      </c>
      <c r="I29" t="s">
        <v>13</v>
      </c>
      <c r="J29" s="2">
        <f>OperationalTasks[[#This Row],[Actual_Days]]-OperationalTasks[[#This Row],[Expected_Days]]</f>
        <v>3</v>
      </c>
    </row>
    <row r="30" spans="1:10" x14ac:dyDescent="0.25">
      <c r="A30" t="s">
        <v>24</v>
      </c>
      <c r="B30" t="s">
        <v>15</v>
      </c>
      <c r="C30" t="s">
        <v>11</v>
      </c>
      <c r="D30" s="1">
        <v>45922</v>
      </c>
      <c r="E30" s="1">
        <v>45930</v>
      </c>
      <c r="F30" s="2">
        <v>5</v>
      </c>
      <c r="G30" s="2">
        <v>8</v>
      </c>
      <c r="H30" t="s">
        <v>12</v>
      </c>
      <c r="I30" t="s">
        <v>13</v>
      </c>
      <c r="J30" s="2">
        <f>OperationalTasks[[#This Row],[Actual_Days]]-OperationalTasks[[#This Row],[Expected_Days]]</f>
        <v>3</v>
      </c>
    </row>
    <row r="31" spans="1:10" x14ac:dyDescent="0.25">
      <c r="A31" t="s">
        <v>25</v>
      </c>
      <c r="B31" t="s">
        <v>15</v>
      </c>
      <c r="C31" t="s">
        <v>26</v>
      </c>
      <c r="D31" s="1">
        <v>45927</v>
      </c>
      <c r="E31" s="1">
        <v>45934</v>
      </c>
      <c r="F31" s="2">
        <v>7</v>
      </c>
      <c r="G31" s="2">
        <v>7</v>
      </c>
      <c r="H31" t="s">
        <v>20</v>
      </c>
      <c r="I31" t="s">
        <v>27</v>
      </c>
      <c r="J31" s="2">
        <f>OperationalTasks[[#This Row],[Actual_Days]]-OperationalTasks[[#This Row],[Expected_Days]]</f>
        <v>0</v>
      </c>
    </row>
    <row r="32" spans="1:10" x14ac:dyDescent="0.25">
      <c r="A32" t="s">
        <v>30</v>
      </c>
      <c r="B32" t="s">
        <v>15</v>
      </c>
      <c r="C32" t="s">
        <v>19</v>
      </c>
      <c r="D32" s="1">
        <v>45880</v>
      </c>
      <c r="E32" s="1">
        <v>45882</v>
      </c>
      <c r="F32" s="2">
        <v>2</v>
      </c>
      <c r="G32" s="2">
        <v>2</v>
      </c>
      <c r="H32" t="s">
        <v>20</v>
      </c>
      <c r="I32" t="s">
        <v>27</v>
      </c>
      <c r="J32" s="2">
        <f>OperationalTasks[[#This Row],[Actual_Days]]-OperationalTasks[[#This Row],[Expected_Days]]</f>
        <v>0</v>
      </c>
    </row>
    <row r="33" spans="1:10" x14ac:dyDescent="0.25">
      <c r="A33" t="s">
        <v>39</v>
      </c>
      <c r="B33" t="s">
        <v>15</v>
      </c>
      <c r="C33" t="s">
        <v>11</v>
      </c>
      <c r="D33" s="1">
        <v>45902</v>
      </c>
      <c r="E33" s="1">
        <v>45909</v>
      </c>
      <c r="F33" s="2">
        <v>6</v>
      </c>
      <c r="G33" s="2">
        <v>7</v>
      </c>
      <c r="H33" t="s">
        <v>12</v>
      </c>
      <c r="I33" t="s">
        <v>27</v>
      </c>
      <c r="J33" s="2">
        <f>OperationalTasks[[#This Row],[Actual_Days]]-OperationalTasks[[#This Row],[Expected_Days]]</f>
        <v>1</v>
      </c>
    </row>
    <row r="34" spans="1:10" x14ac:dyDescent="0.25">
      <c r="A34" t="s">
        <v>57</v>
      </c>
      <c r="B34" t="s">
        <v>15</v>
      </c>
      <c r="C34" t="s">
        <v>16</v>
      </c>
      <c r="D34" s="1">
        <v>45880</v>
      </c>
      <c r="E34" s="1">
        <v>45887</v>
      </c>
      <c r="F34" s="2">
        <v>5</v>
      </c>
      <c r="G34" s="2">
        <v>7</v>
      </c>
      <c r="H34" t="s">
        <v>12</v>
      </c>
      <c r="I34" t="s">
        <v>13</v>
      </c>
      <c r="J34" s="2">
        <f>OperationalTasks[[#This Row],[Actual_Days]]-OperationalTasks[[#This Row],[Expected_Days]]</f>
        <v>2</v>
      </c>
    </row>
    <row r="35" spans="1:10" x14ac:dyDescent="0.25">
      <c r="A35" t="s">
        <v>58</v>
      </c>
      <c r="B35" t="s">
        <v>15</v>
      </c>
      <c r="C35" t="s">
        <v>16</v>
      </c>
      <c r="D35" s="1">
        <v>45911</v>
      </c>
      <c r="E35" s="1">
        <v>45920</v>
      </c>
      <c r="F35" s="2">
        <v>7</v>
      </c>
      <c r="G35" s="2">
        <v>9</v>
      </c>
      <c r="H35" t="s">
        <v>12</v>
      </c>
      <c r="I35" t="s">
        <v>27</v>
      </c>
      <c r="J35" s="2">
        <f>OperationalTasks[[#This Row],[Actual_Days]]-OperationalTasks[[#This Row],[Expected_Days]]</f>
        <v>2</v>
      </c>
    </row>
    <row r="36" spans="1:10" x14ac:dyDescent="0.25">
      <c r="A36" t="s">
        <v>62</v>
      </c>
      <c r="B36" t="s">
        <v>15</v>
      </c>
      <c r="C36" t="s">
        <v>19</v>
      </c>
      <c r="D36" s="1">
        <v>45869</v>
      </c>
      <c r="E36" s="1">
        <v>45873</v>
      </c>
      <c r="F36" s="2">
        <v>4</v>
      </c>
      <c r="G36" s="2">
        <v>4</v>
      </c>
      <c r="H36" t="s">
        <v>20</v>
      </c>
      <c r="I36" t="s">
        <v>21</v>
      </c>
      <c r="J36" s="2">
        <f>OperationalTasks[[#This Row],[Actual_Days]]-OperationalTasks[[#This Row],[Expected_Days]]</f>
        <v>0</v>
      </c>
    </row>
    <row r="37" spans="1:10" x14ac:dyDescent="0.25">
      <c r="A37" t="s">
        <v>79</v>
      </c>
      <c r="B37" t="s">
        <v>15</v>
      </c>
      <c r="C37" t="s">
        <v>26</v>
      </c>
      <c r="D37" s="1">
        <v>45858</v>
      </c>
      <c r="E37" s="1">
        <v>45864</v>
      </c>
      <c r="F37" s="2">
        <v>3</v>
      </c>
      <c r="G37" s="2">
        <v>6</v>
      </c>
      <c r="H37" t="s">
        <v>12</v>
      </c>
      <c r="I37" t="s">
        <v>13</v>
      </c>
      <c r="J37" s="2">
        <f>OperationalTasks[[#This Row],[Actual_Days]]-OperationalTasks[[#This Row],[Expected_Days]]</f>
        <v>3</v>
      </c>
    </row>
    <row r="38" spans="1:10" x14ac:dyDescent="0.25">
      <c r="A38" t="s">
        <v>31</v>
      </c>
      <c r="B38" t="s">
        <v>32</v>
      </c>
      <c r="C38" t="s">
        <v>16</v>
      </c>
      <c r="D38" s="1">
        <v>45844</v>
      </c>
      <c r="E38" s="1">
        <v>45851</v>
      </c>
      <c r="F38" s="2">
        <v>5</v>
      </c>
      <c r="G38" s="2">
        <v>7</v>
      </c>
      <c r="H38" t="s">
        <v>12</v>
      </c>
      <c r="I38" t="s">
        <v>21</v>
      </c>
      <c r="J38" s="2">
        <f>OperationalTasks[[#This Row],[Actual_Days]]-OperationalTasks[[#This Row],[Expected_Days]]</f>
        <v>2</v>
      </c>
    </row>
    <row r="39" spans="1:10" x14ac:dyDescent="0.25">
      <c r="A39" t="s">
        <v>35</v>
      </c>
      <c r="B39" t="s">
        <v>32</v>
      </c>
      <c r="C39" t="s">
        <v>16</v>
      </c>
      <c r="D39" s="1">
        <v>45866</v>
      </c>
      <c r="E39" s="1">
        <v>45868</v>
      </c>
      <c r="F39" s="2">
        <v>2</v>
      </c>
      <c r="G39" s="2">
        <v>2</v>
      </c>
      <c r="H39" t="s">
        <v>20</v>
      </c>
      <c r="I39" t="s">
        <v>27</v>
      </c>
      <c r="J39" s="2">
        <f>OperationalTasks[[#This Row],[Actual_Days]]-OperationalTasks[[#This Row],[Expected_Days]]</f>
        <v>0</v>
      </c>
    </row>
    <row r="40" spans="1:10" x14ac:dyDescent="0.25">
      <c r="A40" t="s">
        <v>41</v>
      </c>
      <c r="B40" t="s">
        <v>32</v>
      </c>
      <c r="C40" t="s">
        <v>29</v>
      </c>
      <c r="D40" s="1">
        <v>45911</v>
      </c>
      <c r="E40" s="1">
        <v>45919</v>
      </c>
      <c r="F40" s="2">
        <v>7</v>
      </c>
      <c r="G40" s="2">
        <v>8</v>
      </c>
      <c r="H40" t="s">
        <v>12</v>
      </c>
      <c r="I40" t="s">
        <v>21</v>
      </c>
      <c r="J40" s="2">
        <f>OperationalTasks[[#This Row],[Actual_Days]]-OperationalTasks[[#This Row],[Expected_Days]]</f>
        <v>1</v>
      </c>
    </row>
    <row r="41" spans="1:10" x14ac:dyDescent="0.25">
      <c r="A41" t="s">
        <v>47</v>
      </c>
      <c r="B41" t="s">
        <v>32</v>
      </c>
      <c r="C41" t="s">
        <v>26</v>
      </c>
      <c r="D41" s="1">
        <v>45879</v>
      </c>
      <c r="E41" s="1">
        <v>45885</v>
      </c>
      <c r="F41" s="2">
        <v>5</v>
      </c>
      <c r="G41" s="2">
        <v>6</v>
      </c>
      <c r="H41" t="s">
        <v>12</v>
      </c>
      <c r="I41" t="s">
        <v>27</v>
      </c>
      <c r="J41" s="2">
        <f>OperationalTasks[[#This Row],[Actual_Days]]-OperationalTasks[[#This Row],[Expected_Days]]</f>
        <v>1</v>
      </c>
    </row>
    <row r="42" spans="1:10" x14ac:dyDescent="0.25">
      <c r="A42" t="s">
        <v>50</v>
      </c>
      <c r="B42" t="s">
        <v>32</v>
      </c>
      <c r="C42" t="s">
        <v>16</v>
      </c>
      <c r="D42" s="1">
        <v>45922</v>
      </c>
      <c r="E42" s="1">
        <v>45928</v>
      </c>
      <c r="F42" s="2">
        <v>4</v>
      </c>
      <c r="G42" s="2">
        <v>6</v>
      </c>
      <c r="H42" t="s">
        <v>12</v>
      </c>
      <c r="I42" t="s">
        <v>27</v>
      </c>
      <c r="J42" s="2">
        <f>OperationalTasks[[#This Row],[Actual_Days]]-OperationalTasks[[#This Row],[Expected_Days]]</f>
        <v>2</v>
      </c>
    </row>
    <row r="43" spans="1:10" x14ac:dyDescent="0.25">
      <c r="A43" t="s">
        <v>51</v>
      </c>
      <c r="B43" t="s">
        <v>32</v>
      </c>
      <c r="C43" t="s">
        <v>16</v>
      </c>
      <c r="D43" s="1">
        <v>45845</v>
      </c>
      <c r="E43" s="1">
        <v>45854</v>
      </c>
      <c r="F43" s="2">
        <v>7</v>
      </c>
      <c r="G43" s="2">
        <v>9</v>
      </c>
      <c r="H43" t="s">
        <v>12</v>
      </c>
      <c r="I43" t="s">
        <v>13</v>
      </c>
      <c r="J43" s="2">
        <f>OperationalTasks[[#This Row],[Actual_Days]]-OperationalTasks[[#This Row],[Expected_Days]]</f>
        <v>2</v>
      </c>
    </row>
    <row r="44" spans="1:10" x14ac:dyDescent="0.25">
      <c r="A44" t="s">
        <v>53</v>
      </c>
      <c r="B44" t="s">
        <v>32</v>
      </c>
      <c r="C44" t="s">
        <v>11</v>
      </c>
      <c r="D44" s="1">
        <v>45879</v>
      </c>
      <c r="E44" s="1">
        <v>45881</v>
      </c>
      <c r="F44" s="2">
        <v>2</v>
      </c>
      <c r="G44" s="2">
        <v>2</v>
      </c>
      <c r="H44" t="s">
        <v>20</v>
      </c>
      <c r="I44" t="s">
        <v>21</v>
      </c>
      <c r="J44" s="2">
        <f>OperationalTasks[[#This Row],[Actual_Days]]-OperationalTasks[[#This Row],[Expected_Days]]</f>
        <v>0</v>
      </c>
    </row>
    <row r="45" spans="1:10" x14ac:dyDescent="0.25">
      <c r="A45" t="s">
        <v>66</v>
      </c>
      <c r="B45" t="s">
        <v>32</v>
      </c>
      <c r="C45" t="s">
        <v>11</v>
      </c>
      <c r="D45" s="1">
        <v>45879</v>
      </c>
      <c r="E45" s="1">
        <v>45884</v>
      </c>
      <c r="F45" s="2">
        <v>3</v>
      </c>
      <c r="G45" s="2">
        <v>5</v>
      </c>
      <c r="H45" t="s">
        <v>12</v>
      </c>
      <c r="I45" t="s">
        <v>21</v>
      </c>
      <c r="J45" s="2">
        <f>OperationalTasks[[#This Row],[Actual_Days]]-OperationalTasks[[#This Row],[Expected_Days]]</f>
        <v>2</v>
      </c>
    </row>
    <row r="46" spans="1:10" x14ac:dyDescent="0.25">
      <c r="A46" t="s">
        <v>68</v>
      </c>
      <c r="B46" t="s">
        <v>32</v>
      </c>
      <c r="C46" t="s">
        <v>26</v>
      </c>
      <c r="D46" s="1">
        <v>45874</v>
      </c>
      <c r="E46" s="1">
        <v>45875</v>
      </c>
      <c r="F46" s="2">
        <v>1</v>
      </c>
      <c r="G46" s="2">
        <v>1</v>
      </c>
      <c r="H46" t="s">
        <v>20</v>
      </c>
      <c r="I46" t="s">
        <v>21</v>
      </c>
      <c r="J46" s="2">
        <f>OperationalTasks[[#This Row],[Actual_Days]]-OperationalTasks[[#This Row],[Expected_Days]]</f>
        <v>0</v>
      </c>
    </row>
    <row r="47" spans="1:10" x14ac:dyDescent="0.25">
      <c r="A47" t="s">
        <v>72</v>
      </c>
      <c r="B47" t="s">
        <v>32</v>
      </c>
      <c r="C47" t="s">
        <v>16</v>
      </c>
      <c r="D47" s="1">
        <v>45890</v>
      </c>
      <c r="E47" s="1">
        <v>45891</v>
      </c>
      <c r="F47" s="2">
        <v>1</v>
      </c>
      <c r="G47" s="2">
        <v>1</v>
      </c>
      <c r="H47" t="s">
        <v>20</v>
      </c>
      <c r="I47" t="s">
        <v>27</v>
      </c>
      <c r="J47" s="2">
        <f>OperationalTasks[[#This Row],[Actual_Days]]-OperationalTasks[[#This Row],[Expected_Days]]</f>
        <v>0</v>
      </c>
    </row>
    <row r="48" spans="1:10" x14ac:dyDescent="0.25">
      <c r="A48" t="s">
        <v>73</v>
      </c>
      <c r="B48" t="s">
        <v>32</v>
      </c>
      <c r="C48" t="s">
        <v>19</v>
      </c>
      <c r="D48" s="1">
        <v>45845</v>
      </c>
      <c r="E48" s="1">
        <v>45854</v>
      </c>
      <c r="F48" s="2">
        <v>6</v>
      </c>
      <c r="G48" s="2">
        <v>9</v>
      </c>
      <c r="H48" t="s">
        <v>12</v>
      </c>
      <c r="I48" t="s">
        <v>27</v>
      </c>
      <c r="J48" s="2">
        <f>OperationalTasks[[#This Row],[Actual_Days]]-OperationalTasks[[#This Row],[Expected_Days]]</f>
        <v>3</v>
      </c>
    </row>
    <row r="49" spans="1:10" x14ac:dyDescent="0.25">
      <c r="A49" t="s">
        <v>81</v>
      </c>
      <c r="B49" t="s">
        <v>32</v>
      </c>
      <c r="C49" t="s">
        <v>26</v>
      </c>
      <c r="D49" s="1">
        <v>45900</v>
      </c>
      <c r="E49" s="1">
        <v>45906</v>
      </c>
      <c r="F49" s="2">
        <v>6</v>
      </c>
      <c r="G49" s="2">
        <v>6</v>
      </c>
      <c r="H49" t="s">
        <v>20</v>
      </c>
      <c r="I49" t="s">
        <v>21</v>
      </c>
      <c r="J49" s="2">
        <f>OperationalTasks[[#This Row],[Actual_Days]]-OperationalTasks[[#This Row],[Expected_Days]]</f>
        <v>0</v>
      </c>
    </row>
    <row r="50" spans="1:10" x14ac:dyDescent="0.25">
      <c r="A50" t="s">
        <v>83</v>
      </c>
      <c r="B50" t="s">
        <v>32</v>
      </c>
      <c r="C50" t="s">
        <v>16</v>
      </c>
      <c r="D50" s="1">
        <v>45888</v>
      </c>
      <c r="E50" s="1">
        <v>45890</v>
      </c>
      <c r="F50" s="2">
        <v>2</v>
      </c>
      <c r="G50" s="2">
        <v>2</v>
      </c>
      <c r="H50" t="s">
        <v>20</v>
      </c>
      <c r="I50" t="s">
        <v>13</v>
      </c>
      <c r="J50" s="2">
        <f>OperationalTasks[[#This Row],[Actual_Days]]-OperationalTasks[[#This Row],[Expected_Days]]</f>
        <v>0</v>
      </c>
    </row>
    <row r="51" spans="1:10" x14ac:dyDescent="0.25">
      <c r="A51" t="s">
        <v>17</v>
      </c>
      <c r="B51" t="s">
        <v>18</v>
      </c>
      <c r="C51" t="s">
        <v>19</v>
      </c>
      <c r="D51" s="1">
        <v>45898</v>
      </c>
      <c r="E51" s="1">
        <v>45902</v>
      </c>
      <c r="F51" s="2">
        <v>4</v>
      </c>
      <c r="G51" s="2">
        <v>4</v>
      </c>
      <c r="H51" t="s">
        <v>20</v>
      </c>
      <c r="I51" t="s">
        <v>21</v>
      </c>
      <c r="J51" s="2">
        <f>OperationalTasks[[#This Row],[Actual_Days]]-OperationalTasks[[#This Row],[Expected_Days]]</f>
        <v>0</v>
      </c>
    </row>
    <row r="52" spans="1:10" x14ac:dyDescent="0.25">
      <c r="A52" t="s">
        <v>36</v>
      </c>
      <c r="B52" t="s">
        <v>18</v>
      </c>
      <c r="C52" t="s">
        <v>26</v>
      </c>
      <c r="D52" s="1">
        <v>45892</v>
      </c>
      <c r="E52" s="1">
        <v>45898</v>
      </c>
      <c r="F52" s="2">
        <v>5</v>
      </c>
      <c r="G52" s="2">
        <v>6</v>
      </c>
      <c r="H52" t="s">
        <v>12</v>
      </c>
      <c r="I52" t="s">
        <v>21</v>
      </c>
      <c r="J52" s="2">
        <f>OperationalTasks[[#This Row],[Actual_Days]]-OperationalTasks[[#This Row],[Expected_Days]]</f>
        <v>1</v>
      </c>
    </row>
    <row r="53" spans="1:10" x14ac:dyDescent="0.25">
      <c r="A53" t="s">
        <v>48</v>
      </c>
      <c r="B53" t="s">
        <v>18</v>
      </c>
      <c r="C53" t="s">
        <v>26</v>
      </c>
      <c r="D53" s="1">
        <v>45921</v>
      </c>
      <c r="E53" s="1">
        <v>45928</v>
      </c>
      <c r="F53" s="2">
        <v>5</v>
      </c>
      <c r="G53" s="2">
        <v>7</v>
      </c>
      <c r="H53" t="s">
        <v>12</v>
      </c>
      <c r="I53" t="s">
        <v>13</v>
      </c>
      <c r="J53" s="2">
        <f>OperationalTasks[[#This Row],[Actual_Days]]-OperationalTasks[[#This Row],[Expected_Days]]</f>
        <v>2</v>
      </c>
    </row>
    <row r="54" spans="1:10" x14ac:dyDescent="0.25">
      <c r="A54" t="s">
        <v>49</v>
      </c>
      <c r="B54" t="s">
        <v>18</v>
      </c>
      <c r="C54" t="s">
        <v>26</v>
      </c>
      <c r="D54" s="1">
        <v>45866</v>
      </c>
      <c r="E54" s="1">
        <v>45872</v>
      </c>
      <c r="F54" s="2">
        <v>6</v>
      </c>
      <c r="G54" s="2">
        <v>6</v>
      </c>
      <c r="H54" t="s">
        <v>20</v>
      </c>
      <c r="I54" t="s">
        <v>13</v>
      </c>
      <c r="J54" s="2">
        <f>OperationalTasks[[#This Row],[Actual_Days]]-OperationalTasks[[#This Row],[Expected_Days]]</f>
        <v>0</v>
      </c>
    </row>
    <row r="55" spans="1:10" x14ac:dyDescent="0.25">
      <c r="A55" t="s">
        <v>54</v>
      </c>
      <c r="B55" t="s">
        <v>18</v>
      </c>
      <c r="C55" t="s">
        <v>16</v>
      </c>
      <c r="D55" s="1">
        <v>45901</v>
      </c>
      <c r="E55" s="1">
        <v>45907</v>
      </c>
      <c r="F55" s="2">
        <v>4</v>
      </c>
      <c r="G55" s="2">
        <v>6</v>
      </c>
      <c r="H55" t="s">
        <v>12</v>
      </c>
      <c r="I55" t="s">
        <v>21</v>
      </c>
      <c r="J55" s="2">
        <f>OperationalTasks[[#This Row],[Actual_Days]]-OperationalTasks[[#This Row],[Expected_Days]]</f>
        <v>2</v>
      </c>
    </row>
    <row r="56" spans="1:10" x14ac:dyDescent="0.25">
      <c r="A56" t="s">
        <v>55</v>
      </c>
      <c r="B56" t="s">
        <v>18</v>
      </c>
      <c r="C56" t="s">
        <v>26</v>
      </c>
      <c r="D56" s="1">
        <v>45866</v>
      </c>
      <c r="E56" s="1">
        <v>45870</v>
      </c>
      <c r="F56" s="2">
        <v>1</v>
      </c>
      <c r="G56" s="2">
        <v>4</v>
      </c>
      <c r="H56" t="s">
        <v>12</v>
      </c>
      <c r="I56" t="s">
        <v>27</v>
      </c>
      <c r="J56" s="2">
        <f>OperationalTasks[[#This Row],[Actual_Days]]-OperationalTasks[[#This Row],[Expected_Days]]</f>
        <v>3</v>
      </c>
    </row>
    <row r="57" spans="1:10" x14ac:dyDescent="0.25">
      <c r="A57" t="s">
        <v>59</v>
      </c>
      <c r="B57" t="s">
        <v>18</v>
      </c>
      <c r="C57" t="s">
        <v>11</v>
      </c>
      <c r="D57" s="1">
        <v>45896</v>
      </c>
      <c r="E57" s="1">
        <v>45899</v>
      </c>
      <c r="F57" s="2">
        <v>3</v>
      </c>
      <c r="G57" s="2">
        <v>3</v>
      </c>
      <c r="H57" t="s">
        <v>20</v>
      </c>
      <c r="I57" t="s">
        <v>13</v>
      </c>
      <c r="J57" s="2">
        <f>OperationalTasks[[#This Row],[Actual_Days]]-OperationalTasks[[#This Row],[Expected_Days]]</f>
        <v>0</v>
      </c>
    </row>
    <row r="58" spans="1:10" x14ac:dyDescent="0.25">
      <c r="A58" t="s">
        <v>65</v>
      </c>
      <c r="B58" t="s">
        <v>18</v>
      </c>
      <c r="C58" t="s">
        <v>19</v>
      </c>
      <c r="D58" s="1">
        <v>45912</v>
      </c>
      <c r="E58" s="1">
        <v>45921</v>
      </c>
      <c r="F58" s="2">
        <v>7</v>
      </c>
      <c r="G58" s="2">
        <v>9</v>
      </c>
      <c r="H58" t="s">
        <v>12</v>
      </c>
      <c r="I58" t="s">
        <v>21</v>
      </c>
      <c r="J58" s="2">
        <f>OperationalTasks[[#This Row],[Actual_Days]]-OperationalTasks[[#This Row],[Expected_Days]]</f>
        <v>2</v>
      </c>
    </row>
    <row r="59" spans="1:10" x14ac:dyDescent="0.25">
      <c r="A59" t="s">
        <v>74</v>
      </c>
      <c r="B59" t="s">
        <v>18</v>
      </c>
      <c r="C59" t="s">
        <v>26</v>
      </c>
      <c r="D59" s="1">
        <v>45910</v>
      </c>
      <c r="E59" s="1">
        <v>45919</v>
      </c>
      <c r="F59" s="2">
        <v>7</v>
      </c>
      <c r="G59" s="2">
        <v>9</v>
      </c>
      <c r="H59" t="s">
        <v>12</v>
      </c>
      <c r="I59" t="s">
        <v>21</v>
      </c>
      <c r="J59" s="2">
        <f>OperationalTasks[[#This Row],[Actual_Days]]-OperationalTasks[[#This Row],[Expected_Days]]</f>
        <v>2</v>
      </c>
    </row>
    <row r="60" spans="1:10" x14ac:dyDescent="0.25">
      <c r="A60" t="s">
        <v>77</v>
      </c>
      <c r="B60" t="s">
        <v>18</v>
      </c>
      <c r="C60" t="s">
        <v>16</v>
      </c>
      <c r="D60" s="1">
        <v>45903</v>
      </c>
      <c r="E60" s="1">
        <v>45909</v>
      </c>
      <c r="F60" s="2">
        <v>4</v>
      </c>
      <c r="G60" s="2">
        <v>6</v>
      </c>
      <c r="H60" t="s">
        <v>12</v>
      </c>
      <c r="I60" t="s">
        <v>13</v>
      </c>
      <c r="J60" s="2">
        <f>OperationalTasks[[#This Row],[Actual_Days]]-OperationalTasks[[#This Row],[Expected_Days]]</f>
        <v>2</v>
      </c>
    </row>
    <row r="61" spans="1:10" x14ac:dyDescent="0.25">
      <c r="A61" t="s">
        <v>82</v>
      </c>
      <c r="B61" t="s">
        <v>18</v>
      </c>
      <c r="C61" t="s">
        <v>16</v>
      </c>
      <c r="D61" s="1">
        <v>45881</v>
      </c>
      <c r="E61" s="1">
        <v>45884</v>
      </c>
      <c r="F61" s="2">
        <v>4</v>
      </c>
      <c r="G61" s="2">
        <v>3</v>
      </c>
      <c r="H61" t="s">
        <v>20</v>
      </c>
      <c r="I61" t="s">
        <v>27</v>
      </c>
      <c r="J61" s="2">
        <f>OperationalTasks[[#This Row],[Actual_Days]]-OperationalTasks[[#This Row],[Expected_Days]]</f>
        <v>-1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Analysis</vt:lpstr>
      <vt:lpstr>Executive_Summary</vt:lpstr>
      <vt:lpstr>Operational_Data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Katherine Maskell</cp:lastModifiedBy>
  <dcterms:created xsi:type="dcterms:W3CDTF">2026-01-06T02:24:48Z</dcterms:created>
  <dcterms:modified xsi:type="dcterms:W3CDTF">2026-01-06T03:19:27Z</dcterms:modified>
</cp:coreProperties>
</file>